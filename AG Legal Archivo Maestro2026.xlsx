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dorCMC\Desktop\AG Legal\"/>
    </mc:Choice>
  </mc:AlternateContent>
  <xr:revisionPtr revIDLastSave="0" documentId="8_{D6B813AB-CEC2-4651-A71C-3B2ACDB0C61E}" xr6:coauthVersionLast="47" xr6:coauthVersionMax="47" xr10:uidLastSave="{00000000-0000-0000-0000-000000000000}"/>
  <bookViews>
    <workbookView xWindow="-110" yWindow="-110" windowWidth="19420" windowHeight="10300" firstSheet="17" activeTab="19" xr2:uid="{00000000-000D-0000-FFFF-FFFF00000000}"/>
  </bookViews>
  <sheets>
    <sheet name="00_Inicio" sheetId="1" r:id="rId1"/>
    <sheet name="01_Categorias" sheetId="2" r:id="rId2"/>
    <sheet name="02_Subcategorias" sheetId="3" r:id="rId3"/>
    <sheet name="03_Catalogo_Servicios" sheetId="4" r:id="rId4"/>
    <sheet name="04_Registro_Operaciones" sheetId="5" r:id="rId5"/>
    <sheet name="05_Cartera_Proyectos" sheetId="6" r:id="rId6"/>
    <sheet name="06_Personal" sheetId="7" r:id="rId7"/>
    <sheet name="07_Gastos_Fijos" sheetId="8" r:id="rId8"/>
    <sheet name="08_Presupuesto_Jul_Dic" sheetId="9" r:id="rId9"/>
    <sheet name="09_Punto_Equilibrio" sheetId="10" r:id="rId10"/>
    <sheet name="10_Dashboard" sheetId="11" r:id="rId11"/>
    <sheet name="11_Listas" sheetId="12" r:id="rId12"/>
    <sheet name="12_Reglas_Comision" sheetId="13" r:id="rId13"/>
    <sheet name="13_Especificacion_Sistema" sheetId="14" r:id="rId14"/>
    <sheet name="14_Dashboard_KPIs" sheetId="15" r:id="rId15"/>
    <sheet name="15_Cumplimiento_Metas" sheetId="16" r:id="rId16"/>
    <sheet name="04_Plan_Cuentas" sheetId="17" r:id="rId17"/>
    <sheet name="16_Movimientos_Codificados" sheetId="18" r:id="rId18"/>
    <sheet name="17_Resumen_Mensual" sheetId="19" r:id="rId19"/>
    <sheet name="18_Procedimiento_Catalogo" sheetId="20" r:id="rId20"/>
    <sheet name="19_Control_Altas_Cambios" sheetId="21" r:id="rId21"/>
    <sheet name="20_Guia_Usuario" sheetId="22" r:id="rId22"/>
    <sheet name="00_PARA_DESARROLLADOR" sheetId="23" r:id="rId23"/>
  </sheets>
  <calcPr calcId="191029" concurrentCalc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16" l="1"/>
  <c r="O6" i="16"/>
  <c r="O7" i="16"/>
  <c r="O8" i="16"/>
  <c r="O9" i="16"/>
  <c r="O10" i="16"/>
  <c r="F5" i="19"/>
  <c r="H5" i="19"/>
  <c r="I5" i="19"/>
  <c r="J5" i="19"/>
  <c r="B5" i="19"/>
  <c r="K5" i="19"/>
  <c r="N5" i="19"/>
  <c r="O11" i="16"/>
  <c r="O12" i="16"/>
  <c r="O13" i="16"/>
  <c r="O14" i="16"/>
  <c r="O15" i="16"/>
  <c r="O16" i="16"/>
  <c r="F6" i="19"/>
  <c r="H6" i="19"/>
  <c r="I6" i="19"/>
  <c r="J6" i="19"/>
  <c r="B6" i="19"/>
  <c r="K6" i="19"/>
  <c r="N6" i="19"/>
  <c r="O17" i="16"/>
  <c r="O18" i="16"/>
  <c r="O19" i="16"/>
  <c r="O20" i="16"/>
  <c r="O21" i="16"/>
  <c r="O22" i="16"/>
  <c r="F7" i="19"/>
  <c r="H7" i="19"/>
  <c r="I7" i="19"/>
  <c r="J7" i="19"/>
  <c r="B7" i="19"/>
  <c r="K7" i="19"/>
  <c r="N7" i="19"/>
  <c r="O23" i="16"/>
  <c r="O24" i="16"/>
  <c r="O25" i="16"/>
  <c r="O26" i="16"/>
  <c r="O27" i="16"/>
  <c r="O28" i="16"/>
  <c r="F8" i="19"/>
  <c r="H8" i="19"/>
  <c r="I8" i="19"/>
  <c r="J8" i="19"/>
  <c r="B8" i="19"/>
  <c r="K8" i="19"/>
  <c r="N8" i="19"/>
  <c r="O29" i="16"/>
  <c r="O30" i="16"/>
  <c r="O31" i="16"/>
  <c r="O32" i="16"/>
  <c r="O33" i="16"/>
  <c r="O34" i="16"/>
  <c r="F9" i="19"/>
  <c r="H9" i="19"/>
  <c r="I9" i="19"/>
  <c r="J9" i="19"/>
  <c r="B9" i="19"/>
  <c r="K9" i="19"/>
  <c r="N9" i="19"/>
  <c r="O35" i="16"/>
  <c r="O36" i="16"/>
  <c r="O37" i="16"/>
  <c r="O38" i="16"/>
  <c r="O39" i="16"/>
  <c r="O40" i="16"/>
  <c r="F10" i="19"/>
  <c r="H10" i="19"/>
  <c r="I10" i="19"/>
  <c r="J10" i="19"/>
  <c r="B10" i="19"/>
  <c r="K10" i="19"/>
  <c r="N10" i="19"/>
  <c r="N12" i="19"/>
  <c r="M5" i="19"/>
  <c r="M6" i="19"/>
  <c r="M7" i="19"/>
  <c r="M8" i="19"/>
  <c r="M9" i="19"/>
  <c r="M10" i="19"/>
  <c r="M12" i="19"/>
  <c r="J12" i="19"/>
  <c r="C5" i="19"/>
  <c r="C6" i="19"/>
  <c r="C7" i="19"/>
  <c r="C8" i="19"/>
  <c r="C9" i="19"/>
  <c r="C10" i="19"/>
  <c r="C12" i="19"/>
  <c r="L12" i="19"/>
  <c r="K12" i="19"/>
  <c r="I12" i="19"/>
  <c r="H12" i="19"/>
  <c r="F12" i="19"/>
  <c r="E5" i="19"/>
  <c r="E6" i="19"/>
  <c r="E7" i="19"/>
  <c r="E8" i="19"/>
  <c r="E9" i="19"/>
  <c r="E10" i="19"/>
  <c r="E12" i="19"/>
  <c r="G12" i="19"/>
  <c r="B12" i="19"/>
  <c r="D12" i="19"/>
  <c r="S10" i="19"/>
  <c r="R10" i="19"/>
  <c r="O10" i="19"/>
  <c r="L10" i="19"/>
  <c r="G10" i="19"/>
  <c r="D10" i="19"/>
  <c r="S9" i="19"/>
  <c r="R9" i="19"/>
  <c r="O9" i="19"/>
  <c r="L9" i="19"/>
  <c r="G9" i="19"/>
  <c r="D9" i="19"/>
  <c r="S8" i="19"/>
  <c r="R8" i="19"/>
  <c r="O8" i="19"/>
  <c r="L8" i="19"/>
  <c r="G8" i="19"/>
  <c r="D8" i="19"/>
  <c r="S7" i="19"/>
  <c r="R7" i="19"/>
  <c r="O7" i="19"/>
  <c r="L7" i="19"/>
  <c r="G7" i="19"/>
  <c r="D7" i="19"/>
  <c r="S6" i="19"/>
  <c r="R6" i="19"/>
  <c r="O6" i="19"/>
  <c r="L6" i="19"/>
  <c r="G6" i="19"/>
  <c r="D6" i="19"/>
  <c r="S5" i="19"/>
  <c r="R5" i="19"/>
  <c r="O5" i="19"/>
  <c r="L5" i="19"/>
  <c r="G5" i="19"/>
  <c r="D5" i="19"/>
  <c r="L40" i="16"/>
  <c r="V40" i="16"/>
  <c r="R40" i="16"/>
  <c r="T40" i="16"/>
  <c r="U40" i="16"/>
  <c r="Q40" i="16"/>
  <c r="H40" i="16"/>
  <c r="I40" i="16"/>
  <c r="F40" i="16"/>
  <c r="L39" i="16"/>
  <c r="V39" i="16"/>
  <c r="R39" i="16"/>
  <c r="T39" i="16"/>
  <c r="U39" i="16"/>
  <c r="Q39" i="16"/>
  <c r="H39" i="16"/>
  <c r="I39" i="16"/>
  <c r="F39" i="16"/>
  <c r="L38" i="16"/>
  <c r="V38" i="16"/>
  <c r="R38" i="16"/>
  <c r="T38" i="16"/>
  <c r="U38" i="16"/>
  <c r="Q38" i="16"/>
  <c r="H38" i="16"/>
  <c r="I38" i="16"/>
  <c r="F38" i="16"/>
  <c r="L37" i="16"/>
  <c r="V37" i="16"/>
  <c r="R37" i="16"/>
  <c r="T37" i="16"/>
  <c r="U37" i="16"/>
  <c r="Q37" i="16"/>
  <c r="H37" i="16"/>
  <c r="I37" i="16"/>
  <c r="F37" i="16"/>
  <c r="L36" i="16"/>
  <c r="V36" i="16"/>
  <c r="R36" i="16"/>
  <c r="T36" i="16"/>
  <c r="U36" i="16"/>
  <c r="Q36" i="16"/>
  <c r="H36" i="16"/>
  <c r="I36" i="16"/>
  <c r="F36" i="16"/>
  <c r="L35" i="16"/>
  <c r="V35" i="16"/>
  <c r="R35" i="16"/>
  <c r="T35" i="16"/>
  <c r="U35" i="16"/>
  <c r="Q35" i="16"/>
  <c r="H35" i="16"/>
  <c r="I35" i="16"/>
  <c r="F35" i="16"/>
  <c r="L34" i="16"/>
  <c r="V34" i="16"/>
  <c r="R34" i="16"/>
  <c r="T34" i="16"/>
  <c r="U34" i="16"/>
  <c r="Q34" i="16"/>
  <c r="H34" i="16"/>
  <c r="I34" i="16"/>
  <c r="F34" i="16"/>
  <c r="L33" i="16"/>
  <c r="V33" i="16"/>
  <c r="R33" i="16"/>
  <c r="T33" i="16"/>
  <c r="U33" i="16"/>
  <c r="Q33" i="16"/>
  <c r="H33" i="16"/>
  <c r="I33" i="16"/>
  <c r="F33" i="16"/>
  <c r="L32" i="16"/>
  <c r="V32" i="16"/>
  <c r="R32" i="16"/>
  <c r="T32" i="16"/>
  <c r="U32" i="16"/>
  <c r="Q32" i="16"/>
  <c r="H32" i="16"/>
  <c r="I32" i="16"/>
  <c r="F32" i="16"/>
  <c r="L31" i="16"/>
  <c r="V31" i="16"/>
  <c r="R31" i="16"/>
  <c r="T31" i="16"/>
  <c r="U31" i="16"/>
  <c r="Q31" i="16"/>
  <c r="H31" i="16"/>
  <c r="I31" i="16"/>
  <c r="F31" i="16"/>
  <c r="L30" i="16"/>
  <c r="V30" i="16"/>
  <c r="R30" i="16"/>
  <c r="T30" i="16"/>
  <c r="U30" i="16"/>
  <c r="Q30" i="16"/>
  <c r="H30" i="16"/>
  <c r="I30" i="16"/>
  <c r="F30" i="16"/>
  <c r="L29" i="16"/>
  <c r="V29" i="16"/>
  <c r="R29" i="16"/>
  <c r="T29" i="16"/>
  <c r="U29" i="16"/>
  <c r="Q29" i="16"/>
  <c r="H29" i="16"/>
  <c r="I29" i="16"/>
  <c r="F29" i="16"/>
  <c r="L28" i="16"/>
  <c r="V28" i="16"/>
  <c r="R28" i="16"/>
  <c r="T28" i="16"/>
  <c r="U28" i="16"/>
  <c r="Q28" i="16"/>
  <c r="H28" i="16"/>
  <c r="I28" i="16"/>
  <c r="F28" i="16"/>
  <c r="L27" i="16"/>
  <c r="V27" i="16"/>
  <c r="R27" i="16"/>
  <c r="T27" i="16"/>
  <c r="U27" i="16"/>
  <c r="Q27" i="16"/>
  <c r="H27" i="16"/>
  <c r="I27" i="16"/>
  <c r="F27" i="16"/>
  <c r="L26" i="16"/>
  <c r="V26" i="16"/>
  <c r="R26" i="16"/>
  <c r="T26" i="16"/>
  <c r="U26" i="16"/>
  <c r="Q26" i="16"/>
  <c r="H26" i="16"/>
  <c r="I26" i="16"/>
  <c r="F26" i="16"/>
  <c r="L25" i="16"/>
  <c r="V25" i="16"/>
  <c r="R25" i="16"/>
  <c r="T25" i="16"/>
  <c r="U25" i="16"/>
  <c r="Q25" i="16"/>
  <c r="H25" i="16"/>
  <c r="I25" i="16"/>
  <c r="F25" i="16"/>
  <c r="L24" i="16"/>
  <c r="V24" i="16"/>
  <c r="R24" i="16"/>
  <c r="T24" i="16"/>
  <c r="U24" i="16"/>
  <c r="Q24" i="16"/>
  <c r="H24" i="16"/>
  <c r="I24" i="16"/>
  <c r="F24" i="16"/>
  <c r="L23" i="16"/>
  <c r="V23" i="16"/>
  <c r="R23" i="16"/>
  <c r="T23" i="16"/>
  <c r="U23" i="16"/>
  <c r="Q23" i="16"/>
  <c r="H23" i="16"/>
  <c r="I23" i="16"/>
  <c r="F23" i="16"/>
  <c r="L22" i="16"/>
  <c r="V22" i="16"/>
  <c r="R22" i="16"/>
  <c r="T22" i="16"/>
  <c r="U22" i="16"/>
  <c r="Q22" i="16"/>
  <c r="H22" i="16"/>
  <c r="I22" i="16"/>
  <c r="F22" i="16"/>
  <c r="L21" i="16"/>
  <c r="V21" i="16"/>
  <c r="R21" i="16"/>
  <c r="T21" i="16"/>
  <c r="U21" i="16"/>
  <c r="Q21" i="16"/>
  <c r="H21" i="16"/>
  <c r="I21" i="16"/>
  <c r="F21" i="16"/>
  <c r="L20" i="16"/>
  <c r="V20" i="16"/>
  <c r="R20" i="16"/>
  <c r="T20" i="16"/>
  <c r="U20" i="16"/>
  <c r="Q20" i="16"/>
  <c r="H20" i="16"/>
  <c r="I20" i="16"/>
  <c r="F20" i="16"/>
  <c r="L19" i="16"/>
  <c r="V19" i="16"/>
  <c r="R19" i="16"/>
  <c r="T19" i="16"/>
  <c r="U19" i="16"/>
  <c r="Q19" i="16"/>
  <c r="H19" i="16"/>
  <c r="I19" i="16"/>
  <c r="F19" i="16"/>
  <c r="L18" i="16"/>
  <c r="V18" i="16"/>
  <c r="R18" i="16"/>
  <c r="T18" i="16"/>
  <c r="U18" i="16"/>
  <c r="Q18" i="16"/>
  <c r="H18" i="16"/>
  <c r="I18" i="16"/>
  <c r="F18" i="16"/>
  <c r="L17" i="16"/>
  <c r="V17" i="16"/>
  <c r="R17" i="16"/>
  <c r="T17" i="16"/>
  <c r="U17" i="16"/>
  <c r="Q17" i="16"/>
  <c r="H17" i="16"/>
  <c r="I17" i="16"/>
  <c r="F17" i="16"/>
  <c r="L16" i="16"/>
  <c r="V16" i="16"/>
  <c r="R16" i="16"/>
  <c r="T16" i="16"/>
  <c r="U16" i="16"/>
  <c r="Q16" i="16"/>
  <c r="H16" i="16"/>
  <c r="I16" i="16"/>
  <c r="F16" i="16"/>
  <c r="L15" i="16"/>
  <c r="V15" i="16"/>
  <c r="R15" i="16"/>
  <c r="T15" i="16"/>
  <c r="U15" i="16"/>
  <c r="Q15" i="16"/>
  <c r="H15" i="16"/>
  <c r="I15" i="16"/>
  <c r="F15" i="16"/>
  <c r="L14" i="16"/>
  <c r="V14" i="16"/>
  <c r="R14" i="16"/>
  <c r="T14" i="16"/>
  <c r="U14" i="16"/>
  <c r="Q14" i="16"/>
  <c r="H14" i="16"/>
  <c r="I14" i="16"/>
  <c r="F14" i="16"/>
  <c r="L13" i="16"/>
  <c r="V13" i="16"/>
  <c r="R13" i="16"/>
  <c r="T13" i="16"/>
  <c r="U13" i="16"/>
  <c r="Q13" i="16"/>
  <c r="H13" i="16"/>
  <c r="I13" i="16"/>
  <c r="F13" i="16"/>
  <c r="L12" i="16"/>
  <c r="V12" i="16"/>
  <c r="R12" i="16"/>
  <c r="T12" i="16"/>
  <c r="U12" i="16"/>
  <c r="Q12" i="16"/>
  <c r="H12" i="16"/>
  <c r="I12" i="16"/>
  <c r="F12" i="16"/>
  <c r="L11" i="16"/>
  <c r="V11" i="16"/>
  <c r="R11" i="16"/>
  <c r="T11" i="16"/>
  <c r="U11" i="16"/>
  <c r="Q11" i="16"/>
  <c r="H11" i="16"/>
  <c r="I11" i="16"/>
  <c r="F11" i="16"/>
  <c r="L10" i="16"/>
  <c r="V10" i="16"/>
  <c r="R10" i="16"/>
  <c r="T10" i="16"/>
  <c r="U10" i="16"/>
  <c r="Q10" i="16"/>
  <c r="H10" i="16"/>
  <c r="I10" i="16"/>
  <c r="F10" i="16"/>
  <c r="L9" i="16"/>
  <c r="V9" i="16"/>
  <c r="R9" i="16"/>
  <c r="T9" i="16"/>
  <c r="U9" i="16"/>
  <c r="Q9" i="16"/>
  <c r="H9" i="16"/>
  <c r="I9" i="16"/>
  <c r="F9" i="16"/>
  <c r="L8" i="16"/>
  <c r="V8" i="16"/>
  <c r="R8" i="16"/>
  <c r="T8" i="16"/>
  <c r="U8" i="16"/>
  <c r="Q8" i="16"/>
  <c r="H8" i="16"/>
  <c r="I8" i="16"/>
  <c r="F8" i="16"/>
  <c r="L7" i="16"/>
  <c r="V7" i="16"/>
  <c r="R7" i="16"/>
  <c r="T7" i="16"/>
  <c r="U7" i="16"/>
  <c r="Q7" i="16"/>
  <c r="H7" i="16"/>
  <c r="I7" i="16"/>
  <c r="F7" i="16"/>
  <c r="L6" i="16"/>
  <c r="V6" i="16"/>
  <c r="R6" i="16"/>
  <c r="T6" i="16"/>
  <c r="U6" i="16"/>
  <c r="Q6" i="16"/>
  <c r="H6" i="16"/>
  <c r="I6" i="16"/>
  <c r="F6" i="16"/>
  <c r="L5" i="16"/>
  <c r="V5" i="16"/>
  <c r="R5" i="16"/>
  <c r="T5" i="16"/>
  <c r="U5" i="16"/>
  <c r="Q5" i="16"/>
  <c r="H5" i="16"/>
  <c r="I5" i="16"/>
  <c r="F5" i="16"/>
  <c r="C23" i="13"/>
  <c r="D23" i="13"/>
  <c r="E23" i="13"/>
  <c r="F23" i="13"/>
  <c r="C22" i="13"/>
  <c r="D22" i="13"/>
  <c r="E22" i="13"/>
  <c r="F22" i="13"/>
  <c r="C21" i="13"/>
  <c r="D21" i="13"/>
  <c r="E21" i="13"/>
  <c r="F21" i="13"/>
  <c r="C20" i="13"/>
  <c r="D20" i="13"/>
  <c r="E20" i="13"/>
  <c r="F20" i="13"/>
  <c r="G43" i="11"/>
  <c r="F43" i="11"/>
  <c r="E43" i="11"/>
  <c r="D43" i="11"/>
  <c r="C43" i="11"/>
  <c r="B43" i="11"/>
  <c r="A43" i="11"/>
  <c r="G42" i="11"/>
  <c r="F42" i="11"/>
  <c r="E42" i="11"/>
  <c r="D42" i="11"/>
  <c r="C42" i="11"/>
  <c r="B42" i="11"/>
  <c r="A42" i="11"/>
  <c r="G41" i="11"/>
  <c r="F41" i="11"/>
  <c r="E41" i="11"/>
  <c r="D41" i="11"/>
  <c r="C41" i="11"/>
  <c r="B41" i="11"/>
  <c r="A41" i="11"/>
  <c r="G40" i="11"/>
  <c r="F40" i="11"/>
  <c r="E40" i="11"/>
  <c r="D40" i="11"/>
  <c r="C40" i="11"/>
  <c r="B40" i="11"/>
  <c r="A40" i="11"/>
  <c r="G39" i="11"/>
  <c r="F39" i="11"/>
  <c r="E39" i="11"/>
  <c r="D39" i="11"/>
  <c r="C39" i="11"/>
  <c r="B39" i="11"/>
  <c r="A39" i="11"/>
  <c r="G38" i="11"/>
  <c r="F38" i="11"/>
  <c r="E38" i="11"/>
  <c r="D38" i="11"/>
  <c r="C38" i="11"/>
  <c r="B38" i="11"/>
  <c r="A38" i="11"/>
  <c r="T5" i="9"/>
  <c r="T6" i="9"/>
  <c r="T7" i="9"/>
  <c r="T8" i="9"/>
  <c r="T9" i="9"/>
  <c r="T10" i="9"/>
  <c r="T11" i="9"/>
  <c r="G15" i="9"/>
  <c r="G16" i="9"/>
  <c r="G17" i="9"/>
  <c r="G18" i="9"/>
  <c r="G19" i="9"/>
  <c r="C15" i="11"/>
  <c r="B15" i="11"/>
  <c r="R5" i="9"/>
  <c r="R6" i="9"/>
  <c r="R7" i="9"/>
  <c r="R8" i="9"/>
  <c r="R9" i="9"/>
  <c r="R10" i="9"/>
  <c r="R11" i="9"/>
  <c r="F15" i="9"/>
  <c r="F16" i="9"/>
  <c r="F17" i="9"/>
  <c r="F18" i="9"/>
  <c r="F19" i="9"/>
  <c r="C14" i="11"/>
  <c r="B14" i="11"/>
  <c r="P5" i="9"/>
  <c r="P6" i="9"/>
  <c r="P7" i="9"/>
  <c r="P8" i="9"/>
  <c r="P9" i="9"/>
  <c r="P10" i="9"/>
  <c r="P11" i="9"/>
  <c r="E15" i="9"/>
  <c r="E16" i="9"/>
  <c r="E17" i="9"/>
  <c r="E18" i="9"/>
  <c r="E19" i="9"/>
  <c r="C13" i="11"/>
  <c r="B13" i="11"/>
  <c r="N5" i="9"/>
  <c r="N6" i="9"/>
  <c r="N7" i="9"/>
  <c r="N8" i="9"/>
  <c r="N9" i="9"/>
  <c r="N10" i="9"/>
  <c r="N11" i="9"/>
  <c r="D15" i="9"/>
  <c r="D16" i="9"/>
  <c r="D17" i="9"/>
  <c r="D18" i="9"/>
  <c r="D19" i="9"/>
  <c r="C12" i="11"/>
  <c r="B12" i="11"/>
  <c r="L5" i="9"/>
  <c r="L6" i="9"/>
  <c r="L7" i="9"/>
  <c r="L8" i="9"/>
  <c r="L9" i="9"/>
  <c r="L10" i="9"/>
  <c r="L11" i="9"/>
  <c r="C15" i="9"/>
  <c r="C16" i="9"/>
  <c r="C17" i="9"/>
  <c r="C18" i="9"/>
  <c r="C19" i="9"/>
  <c r="C11" i="11"/>
  <c r="B11" i="11"/>
  <c r="J11" i="9"/>
  <c r="B15" i="9"/>
  <c r="B16" i="9"/>
  <c r="B17" i="9"/>
  <c r="B18" i="9"/>
  <c r="B19" i="9"/>
  <c r="C10" i="11"/>
  <c r="B10" i="11"/>
  <c r="B5" i="10"/>
  <c r="B6" i="10"/>
  <c r="B7" i="10"/>
  <c r="B8" i="10"/>
  <c r="M5" i="11"/>
  <c r="I5" i="11"/>
  <c r="E5" i="11"/>
  <c r="A5" i="11"/>
  <c r="D13" i="10"/>
  <c r="D14" i="10"/>
  <c r="D15" i="10"/>
  <c r="D16" i="10"/>
  <c r="D17" i="10"/>
  <c r="B9" i="10"/>
  <c r="B10" i="7"/>
  <c r="B10" i="10"/>
  <c r="G21" i="9"/>
  <c r="F21" i="9"/>
  <c r="E21" i="9"/>
  <c r="D21" i="9"/>
  <c r="C21" i="9"/>
  <c r="B21" i="9"/>
  <c r="G20" i="9"/>
  <c r="F20" i="9"/>
  <c r="E20" i="9"/>
  <c r="D20" i="9"/>
  <c r="C20" i="9"/>
  <c r="B20" i="9"/>
  <c r="V5" i="9"/>
  <c r="V6" i="9"/>
  <c r="V7" i="9"/>
  <c r="V8" i="9"/>
  <c r="V9" i="9"/>
  <c r="V10" i="9"/>
  <c r="V11" i="9"/>
  <c r="U5" i="9"/>
  <c r="U6" i="9"/>
  <c r="U7" i="9"/>
  <c r="U8" i="9"/>
  <c r="U9" i="9"/>
  <c r="U10" i="9"/>
  <c r="U11" i="9"/>
  <c r="S11" i="9"/>
  <c r="Q11" i="9"/>
  <c r="O11" i="9"/>
  <c r="M11" i="9"/>
  <c r="K11" i="9"/>
  <c r="I11" i="9"/>
  <c r="H11" i="9"/>
  <c r="G11" i="9"/>
  <c r="E11" i="9"/>
  <c r="D11" i="9"/>
  <c r="F11" i="9"/>
  <c r="H9" i="8"/>
  <c r="H8" i="8"/>
  <c r="H7" i="8"/>
  <c r="H6" i="8"/>
  <c r="H5" i="8"/>
  <c r="H5" i="7"/>
  <c r="H6" i="7"/>
  <c r="H7" i="7"/>
  <c r="C10" i="7"/>
  <c r="K13" i="6"/>
  <c r="K12" i="6"/>
  <c r="K11" i="6"/>
  <c r="K10" i="6"/>
  <c r="K9" i="6"/>
  <c r="K8" i="6"/>
  <c r="K7" i="6"/>
  <c r="K6" i="6"/>
  <c r="K5" i="6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</calcChain>
</file>

<file path=xl/sharedStrings.xml><?xml version="1.0" encoding="utf-8"?>
<sst xmlns="http://schemas.openxmlformats.org/spreadsheetml/2006/main" count="6162" uniqueCount="2520">
  <si>
    <t>AG LEGAL | Sistema financiero y comercial 2026</t>
  </si>
  <si>
    <t>Modelo reconstruido a partir del detalle mensual. Separa cobrado, cartera en ejecución y presupuesto julio-diciembre.</t>
  </si>
  <si>
    <t>Regla</t>
  </si>
  <si>
    <t>Aplicación</t>
  </si>
  <si>
    <t>Código</t>
  </si>
  <si>
    <t>AGL-Categoría-Subcategoría-000</t>
  </si>
  <si>
    <t>Clasificación</t>
  </si>
  <si>
    <t>Cada servicio tiene una categoría financiera principal y múltiples etiquetas.</t>
  </si>
  <si>
    <t>Duplicados</t>
  </si>
  <si>
    <t>No se duplica el mismo servicio; se relaciona mediante etiquetas y servicios vinculados.</t>
  </si>
  <si>
    <t>Ingreso</t>
  </si>
  <si>
    <t>Solo dinero efectivamente cobrado.</t>
  </si>
  <si>
    <t>Cartera</t>
  </si>
  <si>
    <t>Trabajo contratado o ganado que requiere finalizarse antes del cobro.</t>
  </si>
  <si>
    <t>Proyección</t>
  </si>
  <si>
    <t>Cobro esperado por mes, ajustado por probabilidad.</t>
  </si>
  <si>
    <t>Corrección David Juárez</t>
  </si>
  <si>
    <t>Honorarios $1,500; adelanto cobrado $200; saldo pendiente $1,300.</t>
  </si>
  <si>
    <t>Hoja</t>
  </si>
  <si>
    <t>Uso principal</t>
  </si>
  <si>
    <t>Usuario</t>
  </si>
  <si>
    <t>Carácter</t>
  </si>
  <si>
    <t>12_Reglas_Comision</t>
  </si>
  <si>
    <t>Reglas de salario variable de Andrea</t>
  </si>
  <si>
    <t>Administración / desarrollador</t>
  </si>
  <si>
    <t>Normativo</t>
  </si>
  <si>
    <t>13_Especificacion_Sistema</t>
  </si>
  <si>
    <t>Modelo de datos y reglas de implementación</t>
  </si>
  <si>
    <t>Desarrollador</t>
  </si>
  <si>
    <t>Crítico</t>
  </si>
  <si>
    <t>14_Dashboard_KPIs</t>
  </si>
  <si>
    <t>Indicadores y visuales requeridos</t>
  </si>
  <si>
    <t>Desarrollador / socios</t>
  </si>
  <si>
    <t>15_Cumplimiento_Metas</t>
  </si>
  <si>
    <t>Estructura de seguimiento meta vs real</t>
  </si>
  <si>
    <t>Sistema / administración</t>
  </si>
  <si>
    <t>Operativo</t>
  </si>
  <si>
    <t>03_Catalogo_Servicios</t>
  </si>
  <si>
    <t>Maestro de códigos a importar</t>
  </si>
  <si>
    <t>Contenido</t>
  </si>
  <si>
    <t>Uso</t>
  </si>
  <si>
    <t>Importancia</t>
  </si>
  <si>
    <t>04_Plan_Cuentas</t>
  </si>
  <si>
    <t>Códigos oficiales de ingresos y egresos</t>
  </si>
  <si>
    <t>Importar al sistema</t>
  </si>
  <si>
    <t>Crítica</t>
  </si>
  <si>
    <t>Meta y realidad por familia/mes</t>
  </si>
  <si>
    <t>Control temporal y sistema</t>
  </si>
  <si>
    <t>16_Movimientos_Codificados</t>
  </si>
  <si>
    <t>Estructura de cada movimiento financiero</t>
  </si>
  <si>
    <t>Desarrollo e importación</t>
  </si>
  <si>
    <t>17_Resumen_Mensual</t>
  </si>
  <si>
    <t>Meta, utilidad mínima y cumplimiento consolidado</t>
  </si>
  <si>
    <t>Dashboard y socios</t>
  </si>
  <si>
    <t>Responsable principal</t>
  </si>
  <si>
    <t>18_Procedimiento_Catalogo</t>
  </si>
  <si>
    <t>Procedimiento de altas, cambios e inactivaciones</t>
  </si>
  <si>
    <t>Socio / administrador</t>
  </si>
  <si>
    <t>19_Control_Altas_Cambios</t>
  </si>
  <si>
    <t>Bitácora y solicitudes de modificación</t>
  </si>
  <si>
    <t>Administración</t>
  </si>
  <si>
    <t>Trazabilidad</t>
  </si>
  <si>
    <t>Regla principal</t>
  </si>
  <si>
    <t>Nunca modificar, eliminar ni reutilizar códigos activos.</t>
  </si>
  <si>
    <t>Todos</t>
  </si>
  <si>
    <t>Obligatoria</t>
  </si>
  <si>
    <t>20_Guia_Usuario</t>
  </si>
  <si>
    <t>Guía completa para entender y utilizar el archivo</t>
  </si>
  <si>
    <t>Todos los usuarios</t>
  </si>
  <si>
    <t>PEN</t>
  </si>
  <si>
    <t>Derecho Penal creado como categoría independiente</t>
  </si>
  <si>
    <t>Catálogo y sistema</t>
  </si>
  <si>
    <t>HOJA PRINCIPAL PARA ENVIAR AL DESARROLLADOR</t>
  </si>
  <si>
    <t>Qué contiene</t>
  </si>
  <si>
    <t>Acción</t>
  </si>
  <si>
    <t>Prioridad</t>
  </si>
  <si>
    <t>00_PARA_DESARROLLADOR</t>
  </si>
  <si>
    <t>Resumen único de arquitectura, campos, relaciones, dashboard y fuentes maestras</t>
  </si>
  <si>
    <t>Leer primero</t>
  </si>
  <si>
    <t>Anexo técnico ampliado</t>
  </si>
  <si>
    <t>Consultar después</t>
  </si>
  <si>
    <t>Alta</t>
  </si>
  <si>
    <t>01 | Categorías maestras</t>
  </si>
  <si>
    <t>Las categorías representan líneas jurídicas o comerciales independientes. Los códigos son permanentes y no reutilizables.</t>
  </si>
  <si>
    <t>Categoría</t>
  </si>
  <si>
    <t>Descripción</t>
  </si>
  <si>
    <t>Estado</t>
  </si>
  <si>
    <t>NOT</t>
  </si>
  <si>
    <t>Servicios Notariales</t>
  </si>
  <si>
    <t>Actos y diligencias formalizados mediante función notarial.</t>
  </si>
  <si>
    <t>Activo</t>
  </si>
  <si>
    <t>LIT</t>
  </si>
  <si>
    <t>Litigios y Controversias</t>
  </si>
  <si>
    <t>Representación judicial y solución de controversias.</t>
  </si>
  <si>
    <t>Derecho Penal</t>
  </si>
  <si>
    <t>Defensa penal, representación de víctimas, actuación ante FGR y tribunales, delitos económicos y ejecución penal.</t>
  </si>
  <si>
    <t>FAM</t>
  </si>
  <si>
    <t>Derecho de Familia</t>
  </si>
  <si>
    <t>Procesos familiares, filiación, alimentos y autoridad parental.</t>
  </si>
  <si>
    <t>COR</t>
  </si>
  <si>
    <t>Corporativo y Empresarial</t>
  </si>
  <si>
    <t>Sociedades, gobierno corporativo y asesoría empresarial.</t>
  </si>
  <si>
    <t>RAI</t>
  </si>
  <si>
    <t>Bienes Raíces e Inversiones</t>
  </si>
  <si>
    <t>Operaciones inmobiliarias, registrales, catastrales y de inversión.</t>
  </si>
  <si>
    <t>ADM</t>
  </si>
  <si>
    <t>Derecho Administrativo</t>
  </si>
  <si>
    <t>Procedimientos y trámites ante instituciones públicas.</t>
  </si>
  <si>
    <t>MIG</t>
  </si>
  <si>
    <t>Migración y Extranjería</t>
  </si>
  <si>
    <t>Residencias, naturalización, NIT y regularización migratoria.</t>
  </si>
  <si>
    <t>REL</t>
  </si>
  <si>
    <t>Relocalización</t>
  </si>
  <si>
    <t>Acompañamiento integral para establecerse o invertir en El Salvador.</t>
  </si>
  <si>
    <t>LAB</t>
  </si>
  <si>
    <t>Laboral Preventivo</t>
  </si>
  <si>
    <t>Contratos, reglamentos, terminaciones e inspecciones laborales.</t>
  </si>
  <si>
    <t>IPI</t>
  </si>
  <si>
    <t>Propiedad Intelectual</t>
  </si>
  <si>
    <t>Marcas, derechos de autor, patentes y diseños.</t>
  </si>
  <si>
    <t>DTC</t>
  </si>
  <si>
    <t>Datos, Tecnología y Cumplimiento</t>
  </si>
  <si>
    <t>Protección de datos, comercio digital y compliance.</t>
  </si>
  <si>
    <t>COB</t>
  </si>
  <si>
    <t>Cobranza y Recuperación</t>
  </si>
  <si>
    <t>Cobranza preventiva, extrajudicial y judicial.</t>
  </si>
  <si>
    <t>SUC</t>
  </si>
  <si>
    <t>Sucesiones y Patrimonio</t>
  </si>
  <si>
    <t>Herencias, planificación sucesoria y particiones.</t>
  </si>
  <si>
    <t>OSF</t>
  </si>
  <si>
    <t>Organizaciones sin Fines de Lucro</t>
  </si>
  <si>
    <t>Constitución, gobierno y cumplimiento de asociaciones y fundaciones.</t>
  </si>
  <si>
    <t>CTR</t>
  </si>
  <si>
    <t>Contratos y Obligaciones</t>
  </si>
  <si>
    <t>Redacción, revisión y negociación contractual.</t>
  </si>
  <si>
    <t>02 | Subcategorías maestras</t>
  </si>
  <si>
    <t>Cada subcategoría pertenece a una categoría activa y utiliza un código único de tres letras distinto del código de su categoría.</t>
  </si>
  <si>
    <t>Código categoría</t>
  </si>
  <si>
    <t>Código subcategoría</t>
  </si>
  <si>
    <t>Subcategoría</t>
  </si>
  <si>
    <t>Código compuesto</t>
  </si>
  <si>
    <t>EST</t>
  </si>
  <si>
    <t>Escrituras sobre inmuebles</t>
  </si>
  <si>
    <t>NOT-EST</t>
  </si>
  <si>
    <t>VEH</t>
  </si>
  <si>
    <t>Instrumentos sobre vehículos</t>
  </si>
  <si>
    <t>NOT-VEH</t>
  </si>
  <si>
    <t>EFA</t>
  </si>
  <si>
    <t>Estado familiar</t>
  </si>
  <si>
    <t>NOT-EFA</t>
  </si>
  <si>
    <t>PAT</t>
  </si>
  <si>
    <t>Patrimonial notarial</t>
  </si>
  <si>
    <t>NOT-PAT</t>
  </si>
  <si>
    <t>OBL</t>
  </si>
  <si>
    <t>Obligaciones notariales</t>
  </si>
  <si>
    <t>NOT-OBL</t>
  </si>
  <si>
    <t>POD</t>
  </si>
  <si>
    <t>Poderes</t>
  </si>
  <si>
    <t>NOT-POD</t>
  </si>
  <si>
    <t>AUC</t>
  </si>
  <si>
    <t>Auténticas y certificaciones</t>
  </si>
  <si>
    <t>NOT-AUC</t>
  </si>
  <si>
    <t>DIL</t>
  </si>
  <si>
    <t>Diligencias notariales</t>
  </si>
  <si>
    <t>NOT-DIL</t>
  </si>
  <si>
    <t>MER</t>
  </si>
  <si>
    <t>Mercantil</t>
  </si>
  <si>
    <t>LIT-MER</t>
  </si>
  <si>
    <t>CIV</t>
  </si>
  <si>
    <t>Civil</t>
  </si>
  <si>
    <t>LIT-CIV</t>
  </si>
  <si>
    <t>TRL</t>
  </si>
  <si>
    <t>Laboral contencioso</t>
  </si>
  <si>
    <t>LIT-TRL</t>
  </si>
  <si>
    <t>MCA</t>
  </si>
  <si>
    <t>Mediación, conciliación y arbitraje</t>
  </si>
  <si>
    <t>LIT-MCA</t>
  </si>
  <si>
    <t>DIV</t>
  </si>
  <si>
    <t>Divorcio</t>
  </si>
  <si>
    <t>FAM-DIV</t>
  </si>
  <si>
    <t>FIL</t>
  </si>
  <si>
    <t>Filiación</t>
  </si>
  <si>
    <t>FAM-FIL</t>
  </si>
  <si>
    <t>APR</t>
  </si>
  <si>
    <t>Autoridad parental</t>
  </si>
  <si>
    <t>FAM-APR</t>
  </si>
  <si>
    <t>ALI</t>
  </si>
  <si>
    <t>Alimentos</t>
  </si>
  <si>
    <t>FAM-ALI</t>
  </si>
  <si>
    <t>CCT</t>
  </si>
  <si>
    <t>Cuidado, comunicación y trato</t>
  </si>
  <si>
    <t>FAM-CCT</t>
  </si>
  <si>
    <t>UNI</t>
  </si>
  <si>
    <t>Uniones y convivencia</t>
  </si>
  <si>
    <t>FAM-UNI</t>
  </si>
  <si>
    <t>EXT</t>
  </si>
  <si>
    <t>Actos familiares extranjeros</t>
  </si>
  <si>
    <t>FAM-EXT</t>
  </si>
  <si>
    <t>SOC</t>
  </si>
  <si>
    <t>Sociedades</t>
  </si>
  <si>
    <t>COR-SOC</t>
  </si>
  <si>
    <t>GCO</t>
  </si>
  <si>
    <t>Gobierno corporativo</t>
  </si>
  <si>
    <t>COR-GCO</t>
  </si>
  <si>
    <t>SCR</t>
  </si>
  <si>
    <t>Secretaría corporativa</t>
  </si>
  <si>
    <t>COR-SCR</t>
  </si>
  <si>
    <t>EMP</t>
  </si>
  <si>
    <t>Contratos empresariales</t>
  </si>
  <si>
    <t>COR-EMP</t>
  </si>
  <si>
    <t>IVS</t>
  </si>
  <si>
    <t>Inversionistas</t>
  </si>
  <si>
    <t>COR-IVS</t>
  </si>
  <si>
    <t>CMP</t>
  </si>
  <si>
    <t>Cumplimiento corporativo</t>
  </si>
  <si>
    <t>COR-CMP</t>
  </si>
  <si>
    <t>CVE</t>
  </si>
  <si>
    <t>Compra y venta</t>
  </si>
  <si>
    <t>RAI-CVE</t>
  </si>
  <si>
    <t>ARR</t>
  </si>
  <si>
    <t>Arrendamientos</t>
  </si>
  <si>
    <t>RAI-ARR</t>
  </si>
  <si>
    <t>DDL</t>
  </si>
  <si>
    <t>Due diligence</t>
  </si>
  <si>
    <t>RAI-DDL</t>
  </si>
  <si>
    <t>RGT</t>
  </si>
  <si>
    <t>Registral</t>
  </si>
  <si>
    <t>RAI-RGT</t>
  </si>
  <si>
    <t>CTA</t>
  </si>
  <si>
    <t>Catastral</t>
  </si>
  <si>
    <t>RAI-CTA</t>
  </si>
  <si>
    <t>DIN</t>
  </si>
  <si>
    <t>Desarrollo e inversión</t>
  </si>
  <si>
    <t>RAI-DIN</t>
  </si>
  <si>
    <t>MUN</t>
  </si>
  <si>
    <t>Alcaldías</t>
  </si>
  <si>
    <t>ADM-MUN</t>
  </si>
  <si>
    <t>OPM</t>
  </si>
  <si>
    <t>OPAMSS</t>
  </si>
  <si>
    <t>ADM-OPM</t>
  </si>
  <si>
    <t>CNS</t>
  </si>
  <si>
    <t>Consumidor</t>
  </si>
  <si>
    <t>ADM-CNS</t>
  </si>
  <si>
    <t>SFI</t>
  </si>
  <si>
    <t>Sector financiero</t>
  </si>
  <si>
    <t>ADM-SFI</t>
  </si>
  <si>
    <t>TRN</t>
  </si>
  <si>
    <t>Transporte y tránsito</t>
  </si>
  <si>
    <t>ADM-TRN</t>
  </si>
  <si>
    <t>MAR</t>
  </si>
  <si>
    <t>Marítimo</t>
  </si>
  <si>
    <t>ADM-MAR</t>
  </si>
  <si>
    <t>INS</t>
  </si>
  <si>
    <t>Otras instituciones</t>
  </si>
  <si>
    <t>ADM-INS</t>
  </si>
  <si>
    <t>TIN</t>
  </si>
  <si>
    <t>NIT y registros</t>
  </si>
  <si>
    <t>MIG-TIN</t>
  </si>
  <si>
    <t>RES</t>
  </si>
  <si>
    <t>Residencias</t>
  </si>
  <si>
    <t>MIG-RES</t>
  </si>
  <si>
    <t>NAC</t>
  </si>
  <si>
    <t>Naturalización</t>
  </si>
  <si>
    <t>MIG-NAC</t>
  </si>
  <si>
    <t>PRM</t>
  </si>
  <si>
    <t>Permisos</t>
  </si>
  <si>
    <t>MIG-PRM</t>
  </si>
  <si>
    <t>RGL</t>
  </si>
  <si>
    <t>Regularización</t>
  </si>
  <si>
    <t>MIG-RGL</t>
  </si>
  <si>
    <t>VIV</t>
  </si>
  <si>
    <t>Vivienda</t>
  </si>
  <si>
    <t>REL-VIV</t>
  </si>
  <si>
    <t>BNC</t>
  </si>
  <si>
    <t>Banca</t>
  </si>
  <si>
    <t>REL-BNC</t>
  </si>
  <si>
    <t>MOV</t>
  </si>
  <si>
    <t>Movilidad y vehículo</t>
  </si>
  <si>
    <t>REL-MOV</t>
  </si>
  <si>
    <t>LOG</t>
  </si>
  <si>
    <t>Logística</t>
  </si>
  <si>
    <t>REL-LOG</t>
  </si>
  <si>
    <t>Establecimiento e inversión</t>
  </si>
  <si>
    <t>REL-EST</t>
  </si>
  <si>
    <t>CLB</t>
  </si>
  <si>
    <t>Contratos laborales</t>
  </si>
  <si>
    <t>LAB-CLB</t>
  </si>
  <si>
    <t>RIT</t>
  </si>
  <si>
    <t>Reglamento interno</t>
  </si>
  <si>
    <t>LAB-RIT</t>
  </si>
  <si>
    <t>TER</t>
  </si>
  <si>
    <t>Terminaciones</t>
  </si>
  <si>
    <t>LAB-TER</t>
  </si>
  <si>
    <t>AUD</t>
  </si>
  <si>
    <t>Auditoría laboral</t>
  </si>
  <si>
    <t>LAB-AUD</t>
  </si>
  <si>
    <t>ITR</t>
  </si>
  <si>
    <t>Inspecciones y trámites</t>
  </si>
  <si>
    <t>LAB-ITR</t>
  </si>
  <si>
    <t>MRC</t>
  </si>
  <si>
    <t>Marcas</t>
  </si>
  <si>
    <t>IPI-MRC</t>
  </si>
  <si>
    <t>DAU</t>
  </si>
  <si>
    <t>Derechos de autor</t>
  </si>
  <si>
    <t>IPI-DAU</t>
  </si>
  <si>
    <t>PTD</t>
  </si>
  <si>
    <t>Patentes y diseños</t>
  </si>
  <si>
    <t>IPI-PTD</t>
  </si>
  <si>
    <t>PDP</t>
  </si>
  <si>
    <t>Protección de datos</t>
  </si>
  <si>
    <t>DTC-PDP</t>
  </si>
  <si>
    <t>CDG</t>
  </si>
  <si>
    <t>Comercio digital</t>
  </si>
  <si>
    <t>DTC-CDG</t>
  </si>
  <si>
    <t>CPL</t>
  </si>
  <si>
    <t>Cumplimiento</t>
  </si>
  <si>
    <t>DTC-CPL</t>
  </si>
  <si>
    <t>PRV</t>
  </si>
  <si>
    <t>Preventiva</t>
  </si>
  <si>
    <t>COB-PRV</t>
  </si>
  <si>
    <t>EXJ</t>
  </si>
  <si>
    <t>Extrajudicial</t>
  </si>
  <si>
    <t>COB-EXJ</t>
  </si>
  <si>
    <t>JUD</t>
  </si>
  <si>
    <t>Judicial</t>
  </si>
  <si>
    <t>COB-JUD</t>
  </si>
  <si>
    <t>HER</t>
  </si>
  <si>
    <t>Herencias</t>
  </si>
  <si>
    <t>SUC-HER</t>
  </si>
  <si>
    <t>PLP</t>
  </si>
  <si>
    <t>Planificación patrimonial</t>
  </si>
  <si>
    <t>SUC-PLP</t>
  </si>
  <si>
    <t>PAR</t>
  </si>
  <si>
    <t>Partición y cesión</t>
  </si>
  <si>
    <t>SUC-PAR</t>
  </si>
  <si>
    <t>Constitución</t>
  </si>
  <si>
    <t>OSF-CNS</t>
  </si>
  <si>
    <t>GOB</t>
  </si>
  <si>
    <t>Gobierno</t>
  </si>
  <si>
    <t>OSF-GOB</t>
  </si>
  <si>
    <t>OBG</t>
  </si>
  <si>
    <t>Obligaciones y cumplimiento</t>
  </si>
  <si>
    <t>OSF-OBG</t>
  </si>
  <si>
    <t>CCV</t>
  </si>
  <si>
    <t>Contratos civiles</t>
  </si>
  <si>
    <t>CTR-CCV</t>
  </si>
  <si>
    <t>CCM</t>
  </si>
  <si>
    <t>Contratos comerciales</t>
  </si>
  <si>
    <t>CTR-CCM</t>
  </si>
  <si>
    <t>CFN</t>
  </si>
  <si>
    <t>Contratos financieros</t>
  </si>
  <si>
    <t>CTR-CFN</t>
  </si>
  <si>
    <t>CTD</t>
  </si>
  <si>
    <t>Contratos digitales</t>
  </si>
  <si>
    <t>CTR-CTD</t>
  </si>
  <si>
    <t>DEF</t>
  </si>
  <si>
    <t>Defensa técnica penal</t>
  </si>
  <si>
    <t>PEN-DEF</t>
  </si>
  <si>
    <t>VIC</t>
  </si>
  <si>
    <t>Representación de víctimas y querella</t>
  </si>
  <si>
    <t>PEN-VIC</t>
  </si>
  <si>
    <t>FGR</t>
  </si>
  <si>
    <t>Investigación y fase fiscal</t>
  </si>
  <si>
    <t>PEN-FGR</t>
  </si>
  <si>
    <t>ECO</t>
  </si>
  <si>
    <t>Delitos económicos y patrimoniales</t>
  </si>
  <si>
    <t>PEN-ECO</t>
  </si>
  <si>
    <t>CAU</t>
  </si>
  <si>
    <t>Medidas cautelares y audiencias</t>
  </si>
  <si>
    <t>PEN-CAU</t>
  </si>
  <si>
    <t>EJP</t>
  </si>
  <si>
    <t>Ejecución de pena y beneficios penitenciarios</t>
  </si>
  <si>
    <t>PEN-EJP</t>
  </si>
  <si>
    <t>PJV</t>
  </si>
  <si>
    <t>Justicia penal juvenil</t>
  </si>
  <si>
    <t>PEN-PJV</t>
  </si>
  <si>
    <t>03 | Catálogo maestro de servicios</t>
  </si>
  <si>
    <t>Derecho Penal se administra como categoría independiente. Los códigos existentes de otras áreas se conservan para proteger el histórico.</t>
  </si>
  <si>
    <t>Código servicio</t>
  </si>
  <si>
    <t>Cod. categoría</t>
  </si>
  <si>
    <t>Cod. subcategoría</t>
  </si>
  <si>
    <t>Servicio</t>
  </si>
  <si>
    <t>Etiquetas</t>
  </si>
  <si>
    <t>Unidad de cobro</t>
  </si>
  <si>
    <t>Responsable</t>
  </si>
  <si>
    <t>Tarifa referencia ($)</t>
  </si>
  <si>
    <t>Costo directo referencia ($)</t>
  </si>
  <si>
    <t>Horas estándar</t>
  </si>
  <si>
    <t>Margen referencia ($)</t>
  </si>
  <si>
    <t>AGL-NOT-EST-001</t>
  </si>
  <si>
    <t>Escritura de compraventa de inmueble</t>
  </si>
  <si>
    <t>escritura,inmueble,CNR</t>
  </si>
  <si>
    <t>Por definir</t>
  </si>
  <si>
    <t>AGL-NOT-EST-002</t>
  </si>
  <si>
    <t>Promesa de compraventa de inmueble</t>
  </si>
  <si>
    <t>AGL-NOT-EST-003</t>
  </si>
  <si>
    <t>Escritura de donación de inmueble</t>
  </si>
  <si>
    <t>AGL-NOT-EST-004</t>
  </si>
  <si>
    <t>Cancelación notarial de hipoteca</t>
  </si>
  <si>
    <t>AGL-NOT-VEH-001</t>
  </si>
  <si>
    <t>Compraventa de vehículo</t>
  </si>
  <si>
    <t>vehículo,tránsito</t>
  </si>
  <si>
    <t>AGL-NOT-VEH-002</t>
  </si>
  <si>
    <t>Arrendamiento de vehículo</t>
  </si>
  <si>
    <t>AGL-NOT-VEH-003</t>
  </si>
  <si>
    <t>Autorización de salida de vehículo</t>
  </si>
  <si>
    <t>AGL-NOT-EFA-001</t>
  </si>
  <si>
    <t>Matrimonio civil</t>
  </si>
  <si>
    <t>familia,matrimonio,menor</t>
  </si>
  <si>
    <t>AGL-NOT-EFA-002</t>
  </si>
  <si>
    <t>Reconocimiento voluntario de hijo</t>
  </si>
  <si>
    <t>AGL-NOT-EFA-003</t>
  </si>
  <si>
    <t>Permiso de salida de menor</t>
  </si>
  <si>
    <t>AGL-NOT-EFA-004</t>
  </si>
  <si>
    <t>Autorización para pasaporte de menor</t>
  </si>
  <si>
    <t>AGL-NOT-EFA-005</t>
  </si>
  <si>
    <t>Acta notarial relacionada con familia</t>
  </si>
  <si>
    <t>AGL-NOT-PAT-001</t>
  </si>
  <si>
    <t>Testamento</t>
  </si>
  <si>
    <t>herencia,sucesión</t>
  </si>
  <si>
    <t>AGL-NOT-PAT-002</t>
  </si>
  <si>
    <t>Aceptación de herencia notarial</t>
  </si>
  <si>
    <t>AGL-NOT-PAT-003</t>
  </si>
  <si>
    <t>Cesión de derechos hereditarios</t>
  </si>
  <si>
    <t>AGL-NOT-OBL-001</t>
  </si>
  <si>
    <t>Mutuo prendario</t>
  </si>
  <si>
    <t>obligación,mutuo</t>
  </si>
  <si>
    <t>AGL-NOT-OBL-002</t>
  </si>
  <si>
    <t>Mutuo hipotecario</t>
  </si>
  <si>
    <t>AGL-NOT-OBL-003</t>
  </si>
  <si>
    <t>Reconocimiento de deuda</t>
  </si>
  <si>
    <t>AGL-NOT-OBL-004</t>
  </si>
  <si>
    <t>Resciliación y finiquito</t>
  </si>
  <si>
    <t>AGL-NOT-POD-001</t>
  </si>
  <si>
    <t>Poder general judicial</t>
  </si>
  <si>
    <t>poder,mandato</t>
  </si>
  <si>
    <t>AGL-NOT-POD-002</t>
  </si>
  <si>
    <t>Poder general administrativo</t>
  </si>
  <si>
    <t>AGL-NOT-POD-003</t>
  </si>
  <si>
    <t>Poder especial</t>
  </si>
  <si>
    <t>AGL-NOT-AUC-001</t>
  </si>
  <si>
    <t>Auténtica de firma</t>
  </si>
  <si>
    <t>autentica,certificación</t>
  </si>
  <si>
    <t>AGL-NOT-AUC-002</t>
  </si>
  <si>
    <t>Certificación de documentos</t>
  </si>
  <si>
    <t>AGL-NOT-AUC-003</t>
  </si>
  <si>
    <t>Declaración jurada</t>
  </si>
  <si>
    <t>AGL-NOT-AUC-004</t>
  </si>
  <si>
    <t>Acta notarial</t>
  </si>
  <si>
    <t>AGL-NOT-DIL-001</t>
  </si>
  <si>
    <t>Diligencia de traducción</t>
  </si>
  <si>
    <t>diligencia,protocolo</t>
  </si>
  <si>
    <t>AGL-NOT-DIL-002</t>
  </si>
  <si>
    <t>Remedición de inmueble</t>
  </si>
  <si>
    <t>AGL-NOT-DIL-003</t>
  </si>
  <si>
    <t>Segregación de inmueble</t>
  </si>
  <si>
    <t>AGL-NOT-DIL-004</t>
  </si>
  <si>
    <t>Subsidiario de nacimiento</t>
  </si>
  <si>
    <t>AGL-NOT-DIL-005</t>
  </si>
  <si>
    <t>Subsidiario de defunción</t>
  </si>
  <si>
    <t>AGL-NOT-DIL-006</t>
  </si>
  <si>
    <t>Protocolización</t>
  </si>
  <si>
    <t>AGL-LIT-MER-001</t>
  </si>
  <si>
    <t>Juicio ejecutivo mercantil - demandante</t>
  </si>
  <si>
    <t>mercantil,deuda</t>
  </si>
  <si>
    <t>AGL-LIT-MER-002</t>
  </si>
  <si>
    <t>Juicio ejecutivo mercantil - demandado</t>
  </si>
  <si>
    <t>AGL-LIT-CIV-001</t>
  </si>
  <si>
    <t>Juicio civil declarativo</t>
  </si>
  <si>
    <t>civil,proceso</t>
  </si>
  <si>
    <t>AGL-LIT-CIV-002</t>
  </si>
  <si>
    <t>Daños y perjuicios</t>
  </si>
  <si>
    <t>AGL-LIT-CIV-003</t>
  </si>
  <si>
    <t>Prescripción adquisitiva</t>
  </si>
  <si>
    <t>AGL-LIT-CIV-004</t>
  </si>
  <si>
    <t>Prescripción extintiva</t>
  </si>
  <si>
    <t>AGL-LIT-CIV-005</t>
  </si>
  <si>
    <t>Proceso reivindicatorio</t>
  </si>
  <si>
    <t>AGL-LIT-CIV-006</t>
  </si>
  <si>
    <t>Incumplimiento contractual</t>
  </si>
  <si>
    <t>AGL-LIT-TRL-001</t>
  </si>
  <si>
    <t>Juicio laboral - demandante</t>
  </si>
  <si>
    <t>laboral</t>
  </si>
  <si>
    <t>AGL-LIT-TRL-002</t>
  </si>
  <si>
    <t>Juicio laboral - demandado</t>
  </si>
  <si>
    <t>AGL-LIT-TRL-003</t>
  </si>
  <si>
    <t>Conciliación laboral</t>
  </si>
  <si>
    <t>AGL-LIT-MCA-001</t>
  </si>
  <si>
    <t>Negociación extrajudicial</t>
  </si>
  <si>
    <t>negociación,conciliación</t>
  </si>
  <si>
    <t>AGL-LIT-MCA-002</t>
  </si>
  <si>
    <t>Conciliación</t>
  </si>
  <si>
    <t>AGL-LIT-MCA-003</t>
  </si>
  <si>
    <t>Mediación</t>
  </si>
  <si>
    <t>AGL-LIT-MCA-004</t>
  </si>
  <si>
    <t>Arbitraje</t>
  </si>
  <si>
    <t>AGL-FAM-DIV-001</t>
  </si>
  <si>
    <t>Divorcio por mutuo consentimiento</t>
  </si>
  <si>
    <t>divorcio</t>
  </si>
  <si>
    <t>AGL-FAM-DIV-002</t>
  </si>
  <si>
    <t>Divorcio contencioso</t>
  </si>
  <si>
    <t>AGL-FAM-FIL-001</t>
  </si>
  <si>
    <t>Declaración judicial de paternidad</t>
  </si>
  <si>
    <t>paternidad</t>
  </si>
  <si>
    <t>AGL-FAM-FIL-002</t>
  </si>
  <si>
    <t>Impugnación de paternidad</t>
  </si>
  <si>
    <t>AGL-FAM-APR-001</t>
  </si>
  <si>
    <t>Suspensión de autoridad parental</t>
  </si>
  <si>
    <t>autoridad parental</t>
  </si>
  <si>
    <t>AGL-FAM-APR-002</t>
  </si>
  <si>
    <t>Pérdida de autoridad parental</t>
  </si>
  <si>
    <t>AGL-FAM-ALI-001</t>
  </si>
  <si>
    <t>Fijación de cuota alimenticia</t>
  </si>
  <si>
    <t>alimentos</t>
  </si>
  <si>
    <t>AGL-FAM-ALI-002</t>
  </si>
  <si>
    <t>Modificación de cuota alimenticia</t>
  </si>
  <si>
    <t>AGL-FAM-CCT-001</t>
  </si>
  <si>
    <t>Acuerdo de cuidado personal</t>
  </si>
  <si>
    <t>cuidado</t>
  </si>
  <si>
    <t>AGL-FAM-CCT-002</t>
  </si>
  <si>
    <t>Régimen de comunicación y trato</t>
  </si>
  <si>
    <t>AGL-FAM-UNI-001</t>
  </si>
  <si>
    <t>Declaratoria de convivencia</t>
  </si>
  <si>
    <t>unión</t>
  </si>
  <si>
    <t>AGL-FAM-UNI-002</t>
  </si>
  <si>
    <t>Declaratoria de unión no matrimonial</t>
  </si>
  <si>
    <t>AGL-FAM-EXT-001</t>
  </si>
  <si>
    <t>Asentamiento de matrimonio extranjero</t>
  </si>
  <si>
    <t>extranjero</t>
  </si>
  <si>
    <t>AGL-COR-SOC-001</t>
  </si>
  <si>
    <t>Constitución de sociedad</t>
  </si>
  <si>
    <t>sociedad</t>
  </si>
  <si>
    <t>AGL-COR-SOC-002</t>
  </si>
  <si>
    <t>Modificación de pacto social</t>
  </si>
  <si>
    <t>AGL-COR-SOC-003</t>
  </si>
  <si>
    <t>Disolución y liquidación de sociedad</t>
  </si>
  <si>
    <t>AGL-COR-GCO-001</t>
  </si>
  <si>
    <t>Junta general ordinaria</t>
  </si>
  <si>
    <t>gobierno corporativo</t>
  </si>
  <si>
    <t>AGL-COR-GCO-002</t>
  </si>
  <si>
    <t>Junta general extraordinaria</t>
  </si>
  <si>
    <t>AGL-COR-GCO-003</t>
  </si>
  <si>
    <t>Nombramiento o renovación de administración</t>
  </si>
  <si>
    <t>AGL-COR-SCR-001</t>
  </si>
  <si>
    <t>Secretaría corporativa mensual</t>
  </si>
  <si>
    <t>secretaría</t>
  </si>
  <si>
    <t>AGL-COR-SCR-002</t>
  </si>
  <si>
    <t>Inscripción de credencial</t>
  </si>
  <si>
    <t>AGL-COR-EMP-001</t>
  </si>
  <si>
    <t>Revisión de contrato empresarial</t>
  </si>
  <si>
    <t>contrato</t>
  </si>
  <si>
    <t>AGL-COR-EMP-002</t>
  </si>
  <si>
    <t>Elaboración de contrato empresarial</t>
  </si>
  <si>
    <t>AGL-COR-IVS-001</t>
  </si>
  <si>
    <t>Asesoría para inversionistas</t>
  </si>
  <si>
    <t>inversión</t>
  </si>
  <si>
    <t>AGL-COR-IVS-002</t>
  </si>
  <si>
    <t>Due diligence corporativo</t>
  </si>
  <si>
    <t>AGL-COR-CMP-001</t>
  </si>
  <si>
    <t>Programa de cumplimiento corporativo</t>
  </si>
  <si>
    <t>cumplimiento</t>
  </si>
  <si>
    <t>AGL-RAI-CVE-001</t>
  </si>
  <si>
    <t>Asesoría para compra de inmueble</t>
  </si>
  <si>
    <t>compraventa,inmueble</t>
  </si>
  <si>
    <t>AGL-RAI-CVE-002</t>
  </si>
  <si>
    <t>Asesoría para venta de inmueble</t>
  </si>
  <si>
    <t>AGL-RAI-ARR-001</t>
  </si>
  <si>
    <t>Contrato de arrendamiento residencial</t>
  </si>
  <si>
    <t>arrendamiento</t>
  </si>
  <si>
    <t>AGL-RAI-ARR-002</t>
  </si>
  <si>
    <t>Contrato de arrendamiento comercial</t>
  </si>
  <si>
    <t>AGL-RAI-ARR-003</t>
  </si>
  <si>
    <t>Administración legal de arrendamiento</t>
  </si>
  <si>
    <t>AGL-RAI-DDL-001</t>
  </si>
  <si>
    <t>Due diligence legal inmobiliario</t>
  </si>
  <si>
    <t>due diligence</t>
  </si>
  <si>
    <t>AGL-RAI-RGT-001</t>
  </si>
  <si>
    <t>Investigación registral</t>
  </si>
  <si>
    <t>CNR,registral</t>
  </si>
  <si>
    <t>AGL-RAI-RGT-002</t>
  </si>
  <si>
    <t>Informe registral</t>
  </si>
  <si>
    <t>AGL-RAI-RGT-003</t>
  </si>
  <si>
    <t>Inscripción ante CNR</t>
  </si>
  <si>
    <t>AGL-RAI-RGT-004</t>
  </si>
  <si>
    <t>Carencia de bienes</t>
  </si>
  <si>
    <t>AGL-RAI-CTA-001</t>
  </si>
  <si>
    <t>Estudio catastral</t>
  </si>
  <si>
    <t>catastro</t>
  </si>
  <si>
    <t>AGL-RAI-CTA-002</t>
  </si>
  <si>
    <t>Actualización de ficha catastral</t>
  </si>
  <si>
    <t>AGL-RAI-DIN-001</t>
  </si>
  <si>
    <t>Estructuración legal de inversión inmobiliaria</t>
  </si>
  <si>
    <t>AGL-ADM-MUN-001</t>
  </si>
  <si>
    <t>Trámite ante Alcaldía</t>
  </si>
  <si>
    <t>alcaldía</t>
  </si>
  <si>
    <t>AGL-ADM-MUN-002</t>
  </si>
  <si>
    <t>Licencia de funcionamiento municipal</t>
  </si>
  <si>
    <t>AGL-ADM-OPM-001</t>
  </si>
  <si>
    <t>Trámite o escrito ante OPAMSS</t>
  </si>
  <si>
    <t>AGL-ADM-CNS-001</t>
  </si>
  <si>
    <t>Proceso ante Defensoría del Consumidor - proveedor</t>
  </si>
  <si>
    <t>consumidor</t>
  </si>
  <si>
    <t>AGL-ADM-CNS-002</t>
  </si>
  <si>
    <t>Proceso ante Defensoría del Consumidor - consumidor</t>
  </si>
  <si>
    <t>AGL-ADM-SFI-001</t>
  </si>
  <si>
    <t>Procedimiento ante Superintendencia del Sistema Financiero</t>
  </si>
  <si>
    <t>SSF</t>
  </si>
  <si>
    <t>AGL-ADM-TRN-001</t>
  </si>
  <si>
    <t>Trámite ante VMT</t>
  </si>
  <si>
    <t>tránsito</t>
  </si>
  <si>
    <t>AGL-ADM-TRN-002</t>
  </si>
  <si>
    <t>Trámite ante Dirección General de Tránsito</t>
  </si>
  <si>
    <t>AGL-ADM-MAR-001</t>
  </si>
  <si>
    <t>Trámite ante Autoridad Marítima</t>
  </si>
  <si>
    <t>marítimo</t>
  </si>
  <si>
    <t>AGL-ADM-INS-001</t>
  </si>
  <si>
    <t>Gestión ante institución pública</t>
  </si>
  <si>
    <t>institución pública</t>
  </si>
  <si>
    <t>AGL-ADM-INS-002</t>
  </si>
  <si>
    <t>Acompañamiento administrativo</t>
  </si>
  <si>
    <t>AGL-MIG-TIN-001</t>
  </si>
  <si>
    <t>Obtención de NIT para extranjero</t>
  </si>
  <si>
    <t>NIT</t>
  </si>
  <si>
    <t>AGL-MIG-RES-001</t>
  </si>
  <si>
    <t>Residencia temporal</t>
  </si>
  <si>
    <t>residencia</t>
  </si>
  <si>
    <t>AGL-MIG-RES-002</t>
  </si>
  <si>
    <t>Residencia definitiva</t>
  </si>
  <si>
    <t>AGL-MIG-RES-003</t>
  </si>
  <si>
    <t>Renovación de residencia</t>
  </si>
  <si>
    <t>AGL-MIG-NAC-001</t>
  </si>
  <si>
    <t>nacionalidad</t>
  </si>
  <si>
    <t>AGL-MIG-PRM-001</t>
  </si>
  <si>
    <t>Permiso de trabajo</t>
  </si>
  <si>
    <t>permiso</t>
  </si>
  <si>
    <t>AGL-MIG-PRM-002</t>
  </si>
  <si>
    <t>Acompañamiento a Migración</t>
  </si>
  <si>
    <t>AGL-MIG-RGL-001</t>
  </si>
  <si>
    <t>Regularización migratoria</t>
  </si>
  <si>
    <t>migración</t>
  </si>
  <si>
    <t>AGL-MIG-RGL-002</t>
  </si>
  <si>
    <t>Asesoría migratoria por hora</t>
  </si>
  <si>
    <t>AGL-REL-VIV-001</t>
  </si>
  <si>
    <t>Búsqueda y evaluación de vivienda</t>
  </si>
  <si>
    <t>vivienda</t>
  </si>
  <si>
    <t>AGL-REL-VIV-002</t>
  </si>
  <si>
    <t>Revisión y negociación de arrendamiento</t>
  </si>
  <si>
    <t>AGL-REL-BNC-001</t>
  </si>
  <si>
    <t>Acompañamiento para apertura de cuenta bancaria</t>
  </si>
  <si>
    <t>banca</t>
  </si>
  <si>
    <t>AGL-REL-MOV-001</t>
  </si>
  <si>
    <t>Acompañamiento para compra o registro de vehículo</t>
  </si>
  <si>
    <t>vehículo</t>
  </si>
  <si>
    <t>AGL-REL-LOG-001</t>
  </si>
  <si>
    <t>Coordinación de transporte y logística</t>
  </si>
  <si>
    <t>logística</t>
  </si>
  <si>
    <t>AGL-REL-EST-001</t>
  </si>
  <si>
    <t>Paquete de relocalización inicial</t>
  </si>
  <si>
    <t>relocalización</t>
  </si>
  <si>
    <t>AGL-REL-EST-002</t>
  </si>
  <si>
    <t>Asesoría para inversión y establecimiento</t>
  </si>
  <si>
    <t>AGL-REL-EST-003</t>
  </si>
  <si>
    <t>Relocalización integral por hora</t>
  </si>
  <si>
    <t>AGL-LAB-CLB-001</t>
  </si>
  <si>
    <t>Contrato individual de trabajo</t>
  </si>
  <si>
    <t>AGL-LAB-CLB-002</t>
  </si>
  <si>
    <t>Adenda laboral</t>
  </si>
  <si>
    <t>AGL-LAB-RIT-001</t>
  </si>
  <si>
    <t>Elaboración o reforma de reglamento interno</t>
  </si>
  <si>
    <t>reglamento</t>
  </si>
  <si>
    <t>AGL-LAB-TER-001</t>
  </si>
  <si>
    <t>Asesoría en terminación laboral</t>
  </si>
  <si>
    <t>despido</t>
  </si>
  <si>
    <t>AGL-LAB-TER-002</t>
  </si>
  <si>
    <t>Cálculo y revisión de indemnización</t>
  </si>
  <si>
    <t>AGL-LAB-TER-003</t>
  </si>
  <si>
    <t>Procedimiento disciplinario</t>
  </si>
  <si>
    <t>AGL-LAB-AUD-001</t>
  </si>
  <si>
    <t>Auditoría laboral preventiva</t>
  </si>
  <si>
    <t>auditoría</t>
  </si>
  <si>
    <t>AGL-LAB-ITR-001</t>
  </si>
  <si>
    <t>Acompañamiento en inspección laboral</t>
  </si>
  <si>
    <t>MTPS</t>
  </si>
  <si>
    <t>AGL-LAB-ITR-002</t>
  </si>
  <si>
    <t>Registro de centro de trabajo</t>
  </si>
  <si>
    <t>AGL-LAB-ITR-003</t>
  </si>
  <si>
    <t>Aprobación de horario especial</t>
  </si>
  <si>
    <t>AGL-IPI-MRC-001</t>
  </si>
  <si>
    <t>Búsqueda de marca</t>
  </si>
  <si>
    <t>marca</t>
  </si>
  <si>
    <t>AGL-IPI-MRC-002</t>
  </si>
  <si>
    <t>Registro de marca</t>
  </si>
  <si>
    <t>AGL-IPI-MRC-003</t>
  </si>
  <si>
    <t>Renovación de marca</t>
  </si>
  <si>
    <t>AGL-IPI-MRC-004</t>
  </si>
  <si>
    <t>Oposición marcaria</t>
  </si>
  <si>
    <t>AGL-IPI-MRC-005</t>
  </si>
  <si>
    <t>Cesión o licencia de marca</t>
  </si>
  <si>
    <t>AGL-IPI-DAU-001</t>
  </si>
  <si>
    <t>Registro de derecho de autor</t>
  </si>
  <si>
    <t>autor</t>
  </si>
  <si>
    <t>AGL-IPI-PTD-001</t>
  </si>
  <si>
    <t>Registro de patente</t>
  </si>
  <si>
    <t>patente</t>
  </si>
  <si>
    <t>AGL-IPI-PTD-002</t>
  </si>
  <si>
    <t>Modelo de utilidad</t>
  </si>
  <si>
    <t>AGL-IPI-PTD-003</t>
  </si>
  <si>
    <t>Diseño industrial</t>
  </si>
  <si>
    <t>AGL-DTC-PDP-001</t>
  </si>
  <si>
    <t>Diagnóstico de protección de datos</t>
  </si>
  <si>
    <t>datos</t>
  </si>
  <si>
    <t>AGL-DTC-PDP-002</t>
  </si>
  <si>
    <t>Política de protección de datos</t>
  </si>
  <si>
    <t>AGL-DTC-PDP-003</t>
  </si>
  <si>
    <t>Aviso de privacidad</t>
  </si>
  <si>
    <t>AGL-DTC-PDP-004</t>
  </si>
  <si>
    <t>Contrato con encargado de tratamiento</t>
  </si>
  <si>
    <t>AGL-DTC-PDP-005</t>
  </si>
  <si>
    <t>Atención de derechos de titulares</t>
  </si>
  <si>
    <t>AGL-DTC-PDP-006</t>
  </si>
  <si>
    <t>Protocolo de incidentes</t>
  </si>
  <si>
    <t>AGL-DTC-CDG-001</t>
  </si>
  <si>
    <t>Términos y condiciones web</t>
  </si>
  <si>
    <t>digital</t>
  </si>
  <si>
    <t>AGL-DTC-CDG-002</t>
  </si>
  <si>
    <t>Política de cookies</t>
  </si>
  <si>
    <t>AGL-DTC-CDG-003</t>
  </si>
  <si>
    <t>Revisión legal de comercio electrónico</t>
  </si>
  <si>
    <t>AGL-DTC-CPL-001</t>
  </si>
  <si>
    <t>Programa de cumplimiento</t>
  </si>
  <si>
    <t>compliance</t>
  </si>
  <si>
    <t>AGL-DTC-CPL-002</t>
  </si>
  <si>
    <t>Capacitación en cumplimiento</t>
  </si>
  <si>
    <t>AGL-COB-PRV-001</t>
  </si>
  <si>
    <t>Cobranza preventiva</t>
  </si>
  <si>
    <t>cobranza</t>
  </si>
  <si>
    <t>AGL-COB-PRV-002</t>
  </si>
  <si>
    <t>Requerimiento de pago</t>
  </si>
  <si>
    <t>AGL-COB-EXJ-001</t>
  </si>
  <si>
    <t>Cobranza extrajudicial</t>
  </si>
  <si>
    <t>deuda</t>
  </si>
  <si>
    <t>AGL-COB-EXJ-002</t>
  </si>
  <si>
    <t>Convenio de pago</t>
  </si>
  <si>
    <t>AGL-COB-EXJ-003</t>
  </si>
  <si>
    <t>Reestructuración de deuda</t>
  </si>
  <si>
    <t>AGL-COB-JUD-001</t>
  </si>
  <si>
    <t>Cobranza judicial</t>
  </si>
  <si>
    <t>recuperación</t>
  </si>
  <si>
    <t>AGL-COB-JUD-002</t>
  </si>
  <si>
    <t>Ejecución de garantía</t>
  </si>
  <si>
    <t>AGL-COB-JUD-003</t>
  </si>
  <si>
    <t>Administración de cartera</t>
  </si>
  <si>
    <t>AGL-SUC-HER-001</t>
  </si>
  <si>
    <t>Aceptación de herencia judicial</t>
  </si>
  <si>
    <t>herencia</t>
  </si>
  <si>
    <t>AGL-SUC-HER-002</t>
  </si>
  <si>
    <t>Declaratoria de herederos</t>
  </si>
  <si>
    <t>AGL-SUC-HER-003</t>
  </si>
  <si>
    <t>Herencia intestada</t>
  </si>
  <si>
    <t>AGL-SUC-HER-004</t>
  </si>
  <si>
    <t>Herencia testamentaria</t>
  </si>
  <si>
    <t>AGL-SUC-PLP-001</t>
  </si>
  <si>
    <t>Planificación sucesoria</t>
  </si>
  <si>
    <t>patrimonio</t>
  </si>
  <si>
    <t>AGL-SUC-PLP-002</t>
  </si>
  <si>
    <t>Inventario patrimonial</t>
  </si>
  <si>
    <t>AGL-SUC-PAR-001</t>
  </si>
  <si>
    <t>Partición de bienes</t>
  </si>
  <si>
    <t>partición</t>
  </si>
  <si>
    <t>AGL-SUC-PAR-002</t>
  </si>
  <si>
    <t>Cesión de derechos hereditarios judicial</t>
  </si>
  <si>
    <t>AGL-OSF-CNS-001</t>
  </si>
  <si>
    <t>Constitución de asociación</t>
  </si>
  <si>
    <t>asociación</t>
  </si>
  <si>
    <t>AGL-OSF-CNS-002</t>
  </si>
  <si>
    <t>Constitución de fundación</t>
  </si>
  <si>
    <t>AGL-OSF-CNS-003</t>
  </si>
  <si>
    <t>Elaboración de estatutos</t>
  </si>
  <si>
    <t>AGL-OSF-GOB-001</t>
  </si>
  <si>
    <t>Inscripción de junta directiva</t>
  </si>
  <si>
    <t>gobierno</t>
  </si>
  <si>
    <t>AGL-OSF-GOB-002</t>
  </si>
  <si>
    <t>Reforma de estatutos</t>
  </si>
  <si>
    <t>AGL-OSF-OBG-001</t>
  </si>
  <si>
    <t>Cumplimiento anual de OSFL</t>
  </si>
  <si>
    <t>OSFL</t>
  </si>
  <si>
    <t>AGL-OSF-OBG-002</t>
  </si>
  <si>
    <t>Disolución y liquidación de OSFL</t>
  </si>
  <si>
    <t>AGL-CTR-CCV-001</t>
  </si>
  <si>
    <t>Contrato de prestación de servicios</t>
  </si>
  <si>
    <t>contrato civil</t>
  </si>
  <si>
    <t>AGL-CTR-CCV-002</t>
  </si>
  <si>
    <t>Contrato de préstamo</t>
  </si>
  <si>
    <t>AGL-CTR-CCV-003</t>
  </si>
  <si>
    <t>Promesa de venta</t>
  </si>
  <si>
    <t>AGL-CTR-CCV-004</t>
  </si>
  <si>
    <t>Contrato de confidencialidad</t>
  </si>
  <si>
    <t>AGL-CTR-CCM-001</t>
  </si>
  <si>
    <t>Contrato de distribución</t>
  </si>
  <si>
    <t>contrato comercial</t>
  </si>
  <si>
    <t>AGL-CTR-CCM-002</t>
  </si>
  <si>
    <t>Contrato de agencia</t>
  </si>
  <si>
    <t>AGL-CTR-CCM-003</t>
  </si>
  <si>
    <t>Contrato de suministro</t>
  </si>
  <si>
    <t>AGL-CTR-CCM-004</t>
  </si>
  <si>
    <t>Acuerdo de socios</t>
  </si>
  <si>
    <t>AGL-CTR-CFN-001</t>
  </si>
  <si>
    <t>Reconocimiento de deuda contractual</t>
  </si>
  <si>
    <t>financiero</t>
  </si>
  <si>
    <t>AGL-CTR-CFN-002</t>
  </si>
  <si>
    <t>Convenio de pago contractual</t>
  </si>
  <si>
    <t>AGL-CTR-CTD-001</t>
  </si>
  <si>
    <t>Contrato digital</t>
  </si>
  <si>
    <t>tecnología</t>
  </si>
  <si>
    <t>AGL-CTR-CTD-002</t>
  </si>
  <si>
    <t>Licencia de software</t>
  </si>
  <si>
    <t>AGL-PEN-DEF-001</t>
  </si>
  <si>
    <t>Consulta y evaluación inicial de caso penal</t>
  </si>
  <si>
    <t>penal,consulta,defensa</t>
  </si>
  <si>
    <t>AGL-PEN-DEF-002</t>
  </si>
  <si>
    <t>Defensa técnica en proceso penal</t>
  </si>
  <si>
    <t>penal,defensa,tribunal</t>
  </si>
  <si>
    <t>AGL-PEN-DEF-003</t>
  </si>
  <si>
    <t>Defensa en audiencia inicial</t>
  </si>
  <si>
    <t>penal,audiencia inicial,defensa</t>
  </si>
  <si>
    <t>AGL-PEN-DEF-004</t>
  </si>
  <si>
    <t>Defensa en audiencia preliminar</t>
  </si>
  <si>
    <t>penal,audiencia preliminar,defensa</t>
  </si>
  <si>
    <t>AGL-PEN-DEF-005</t>
  </si>
  <si>
    <t>Defensa en vista pública</t>
  </si>
  <si>
    <t>penal,vista pública,defensa</t>
  </si>
  <si>
    <t>AGL-PEN-DEF-006</t>
  </si>
  <si>
    <t>Interposición y seguimiento de recursos penales</t>
  </si>
  <si>
    <t>penal,recurso,apelación,casación</t>
  </si>
  <si>
    <t>AGL-PEN-VIC-001</t>
  </si>
  <si>
    <t>Asesoría y representación de víctima</t>
  </si>
  <si>
    <t>penal,victima,representación</t>
  </si>
  <si>
    <t>AGL-PEN-VIC-002</t>
  </si>
  <si>
    <t>Preparación y presentación de querella</t>
  </si>
  <si>
    <t>penal,querella,victima</t>
  </si>
  <si>
    <t>AGL-PEN-VIC-003</t>
  </si>
  <si>
    <t>Acompañamiento integral de querellante</t>
  </si>
  <si>
    <t>penal,querellante,proceso</t>
  </si>
  <si>
    <t>AGL-PEN-VIC-004</t>
  </si>
  <si>
    <t>Solicitud y seguimiento de medidas de protección</t>
  </si>
  <si>
    <t>penal,protección,victima</t>
  </si>
  <si>
    <t>AGL-PEN-FGR-001</t>
  </si>
  <si>
    <t>Preparación y presentación de denuncia ante FGR</t>
  </si>
  <si>
    <t>penal,FGR,denuncia</t>
  </si>
  <si>
    <t>AGL-PEN-FGR-002</t>
  </si>
  <si>
    <t>Acompañamiento a entrevista o diligencia ante FGR</t>
  </si>
  <si>
    <t>penal,FGR,acompañamiento</t>
  </si>
  <si>
    <t>AGL-PEN-FGR-003</t>
  </si>
  <si>
    <t>Seguimiento de investigación fiscal</t>
  </si>
  <si>
    <t>penal,FGR,investigación</t>
  </si>
  <si>
    <t>AGL-PEN-FGR-004</t>
  </si>
  <si>
    <t>Análisis de expediente e investigación penal</t>
  </si>
  <si>
    <t>penal,expediente,investigación</t>
  </si>
  <si>
    <t>AGL-PEN-ECO-001</t>
  </si>
  <si>
    <t>Defensa por estafa y fraude</t>
  </si>
  <si>
    <t>penal,estafa,fraude</t>
  </si>
  <si>
    <t>AGL-PEN-ECO-002</t>
  </si>
  <si>
    <t>Representación por apropiación o administración fraudulenta</t>
  </si>
  <si>
    <t>penal,apropiación,patrimonial</t>
  </si>
  <si>
    <t>AGL-PEN-ECO-003</t>
  </si>
  <si>
    <t>Asesoría en delitos societarios o financieros</t>
  </si>
  <si>
    <t>penal,económico,societario,financiero</t>
  </si>
  <si>
    <t>AGL-PEN-ECO-004</t>
  </si>
  <si>
    <t>Investigación interna por posible delito económico</t>
  </si>
  <si>
    <t>penal,investigación interna,compliance</t>
  </si>
  <si>
    <t>AGL-PEN-CAU-001</t>
  </si>
  <si>
    <t>Asistencia en detención y audiencia de imposición de medidas</t>
  </si>
  <si>
    <t>penal,detención,medidas cautelares</t>
  </si>
  <si>
    <t>AGL-PEN-CAU-002</t>
  </si>
  <si>
    <t>Solicitud de revisión o modificación de medidas cautelares</t>
  </si>
  <si>
    <t>penal,medidas cautelares,revisión</t>
  </si>
  <si>
    <t>AGL-PEN-CAU-003</t>
  </si>
  <si>
    <t>Solicitud de medidas alternativas a la detención</t>
  </si>
  <si>
    <t>penal,alternativas,detención</t>
  </si>
  <si>
    <t>AGL-PEN-EJP-001</t>
  </si>
  <si>
    <t>Solicitud de beneficio penitenciario</t>
  </si>
  <si>
    <t>penal,beneficio penitenciario,ejecución</t>
  </si>
  <si>
    <t>AGL-PEN-EJP-002</t>
  </si>
  <si>
    <t>Incidente de ejecución o modificación de pena</t>
  </si>
  <si>
    <t>penal,ejecución,pena</t>
  </si>
  <si>
    <t>AGL-PEN-EJP-003</t>
  </si>
  <si>
    <t>Asesoría y representación ante Juzgado de Vigilancia Penitenciaria</t>
  </si>
  <si>
    <t>penal,vigilancia penitenciaria</t>
  </si>
  <si>
    <t>AGL-PEN-PJV-001</t>
  </si>
  <si>
    <t>Defensa en proceso penal juvenil</t>
  </si>
  <si>
    <t>penal juvenil,defensa,adolescente</t>
  </si>
  <si>
    <t>AGL-PEN-PJV-002</t>
  </si>
  <si>
    <t>Representación de víctima en proceso penal juvenil</t>
  </si>
  <si>
    <t>penal juvenil,victima</t>
  </si>
  <si>
    <t>04 | Registro histórico de operaciones</t>
  </si>
  <si>
    <t>Registro reconstruido de marzo a julio. Ingreso significa cobrado; egreso significa pagado.</t>
  </si>
  <si>
    <t>Fecha</t>
  </si>
  <si>
    <t>Mes</t>
  </si>
  <si>
    <t>Cliente</t>
  </si>
  <si>
    <t>Concepto original</t>
  </si>
  <si>
    <t>Tipo</t>
  </si>
  <si>
    <t>Monto ($)</t>
  </si>
  <si>
    <t>Servicio normalizado</t>
  </si>
  <si>
    <t>Notas</t>
  </si>
  <si>
    <t>Marzo</t>
  </si>
  <si>
    <t>Lic. Palma</t>
  </si>
  <si>
    <t>Escritura de compraventa</t>
  </si>
  <si>
    <t>Cobrado</t>
  </si>
  <si>
    <t>AGL-NOT-INM-001</t>
  </si>
  <si>
    <t>Varios</t>
  </si>
  <si>
    <t>AGL-NOT-AUT-002</t>
  </si>
  <si>
    <t>Emiliano</t>
  </si>
  <si>
    <t>Asesoría legal</t>
  </si>
  <si>
    <t>AGL-ADM-REG-001</t>
  </si>
  <si>
    <t>Andre Pranckevicius</t>
  </si>
  <si>
    <t>Elaboración de escrito</t>
  </si>
  <si>
    <t>Santos Alonso Canales</t>
  </si>
  <si>
    <t>AGL-ADM-REG-002</t>
  </si>
  <si>
    <t>Alquiler de instalaciones</t>
  </si>
  <si>
    <t>Douglas</t>
  </si>
  <si>
    <t>Patricia de Hernández</t>
  </si>
  <si>
    <t>Poder, asesoría y conciliación</t>
  </si>
  <si>
    <t>Lucio Orellana</t>
  </si>
  <si>
    <t>Poder judicial</t>
  </si>
  <si>
    <t>Yoni Estuardo</t>
  </si>
  <si>
    <t>Acompañamientos a Migración</t>
  </si>
  <si>
    <t>AGL-MIG-PER-002</t>
  </si>
  <si>
    <t>PGR</t>
  </si>
  <si>
    <t>Acta notarial deuda alimenticia</t>
  </si>
  <si>
    <t>AGL-NOT-AUT-004</t>
  </si>
  <si>
    <t>ISSS</t>
  </si>
  <si>
    <t>José Antonio Mineros</t>
  </si>
  <si>
    <t>Negociación de deuda BAC</t>
  </si>
  <si>
    <t>AGL-LIT-ADR-001</t>
  </si>
  <si>
    <t>Karla Muñoz</t>
  </si>
  <si>
    <t>Aceptación de herencia</t>
  </si>
  <si>
    <t>Ana Jovel</t>
  </si>
  <si>
    <t>Visita a municipalidad</t>
  </si>
  <si>
    <t>Samuel Padillas</t>
  </si>
  <si>
    <t>Cancelación de hipoteca</t>
  </si>
  <si>
    <t>AGL-NOT-INM-004</t>
  </si>
  <si>
    <t>Reparaciones e insumos</t>
  </si>
  <si>
    <t>Egreso</t>
  </si>
  <si>
    <t>Pagado</t>
  </si>
  <si>
    <t>Resumen reconstruido del archivo fuente</t>
  </si>
  <si>
    <t>Viáticos CNR</t>
  </si>
  <si>
    <t>Servicios notariales terceros</t>
  </si>
  <si>
    <t>Renta</t>
  </si>
  <si>
    <t>Sueldo</t>
  </si>
  <si>
    <t>Abril</t>
  </si>
  <si>
    <t>Marcela Vaquero</t>
  </si>
  <si>
    <t>Autorización salida de vehículo</t>
  </si>
  <si>
    <t>David Juárez</t>
  </si>
  <si>
    <t>Investigación sobre herencia</t>
  </si>
  <si>
    <t>AGL-INM-REG-001</t>
  </si>
  <si>
    <t>Ana María Linares</t>
  </si>
  <si>
    <t>Donaciones</t>
  </si>
  <si>
    <t>AGL-NOT-INM-003</t>
  </si>
  <si>
    <t>Marvin Villalta</t>
  </si>
  <si>
    <t>Contratos de arrendamiento</t>
  </si>
  <si>
    <t>AGL-INM-ARR-001</t>
  </si>
  <si>
    <t>Inversiones ZR</t>
  </si>
  <si>
    <t>Compraventa de vehículos</t>
  </si>
  <si>
    <t>Reimpresión compraventa vehículo</t>
  </si>
  <si>
    <t>Margarita Vaquerano</t>
  </si>
  <si>
    <t>Asesoría</t>
  </si>
  <si>
    <t>Certificaciones y tasas</t>
  </si>
  <si>
    <t>Capacitación</t>
  </si>
  <si>
    <t>Energía eléctrica</t>
  </si>
  <si>
    <t>Mayo</t>
  </si>
  <si>
    <t>Copias</t>
  </si>
  <si>
    <t>Asistencia legal en PNC + asesoría</t>
  </si>
  <si>
    <t>Actas notariales</t>
  </si>
  <si>
    <t>Contrato, escritos OPAMSS y certificaciones</t>
  </si>
  <si>
    <t>Gestiones</t>
  </si>
  <si>
    <t>Karolina Ranzinka</t>
  </si>
  <si>
    <t>Asesorías</t>
  </si>
  <si>
    <t>Christine Miranda</t>
  </si>
  <si>
    <t>Gestiones Banco Hipotecario</t>
  </si>
  <si>
    <t>Hugo Gallegos</t>
  </si>
  <si>
    <t>Contrato de regencia</t>
  </si>
  <si>
    <t>AGL-CON-CIV-001</t>
  </si>
  <si>
    <t>Compraventa</t>
  </si>
  <si>
    <t>Lidia de García</t>
  </si>
  <si>
    <t>Douglas Rodríguez</t>
  </si>
  <si>
    <t>Poder</t>
  </si>
  <si>
    <t>René Vaquero</t>
  </si>
  <si>
    <t>Autorización</t>
  </si>
  <si>
    <t>Gestiones de conciliación</t>
  </si>
  <si>
    <t>AGL-LIT-ADR-002</t>
  </si>
  <si>
    <t>Karla Reyes</t>
  </si>
  <si>
    <t>Edwin Leiva</t>
  </si>
  <si>
    <t>AGL-LIT-LAB-003</t>
  </si>
  <si>
    <t>Daniel Martínez</t>
  </si>
  <si>
    <t>Rosa Gallegos</t>
  </si>
  <si>
    <t>Matrimonio</t>
  </si>
  <si>
    <t>AGL-NOT-FAM-001</t>
  </si>
  <si>
    <t>Adriana Pintin</t>
  </si>
  <si>
    <t>Auténtica</t>
  </si>
  <si>
    <t>AGL-NOT-AUT-001</t>
  </si>
  <si>
    <t>Alfredo Villalobos</t>
  </si>
  <si>
    <t>Agua, papel y energía</t>
  </si>
  <si>
    <t>Certificaciones y publicaciones</t>
  </si>
  <si>
    <t>Salario</t>
  </si>
  <si>
    <t>Mantenimiento</t>
  </si>
  <si>
    <t>Junio</t>
  </si>
  <si>
    <t>SIAGRO</t>
  </si>
  <si>
    <t>Certificaciones y auténticas</t>
  </si>
  <si>
    <t>AGL-NOT-AUT-003</t>
  </si>
  <si>
    <t>Andre</t>
  </si>
  <si>
    <t>Protocolización de estatutos de fundación</t>
  </si>
  <si>
    <t>Juan Navarrete</t>
  </si>
  <si>
    <t>CMC</t>
  </si>
  <si>
    <t>Acta notarial y traducción</t>
  </si>
  <si>
    <t>Orison López</t>
  </si>
  <si>
    <t>Asesoría en familia</t>
  </si>
  <si>
    <t>AGL-FAM-CUI-001</t>
  </si>
  <si>
    <t>Joel Alvarado</t>
  </si>
  <si>
    <t>Contrato de arrendamiento</t>
  </si>
  <si>
    <t>Ligia Carmona</t>
  </si>
  <si>
    <t>Promesa de compraventa</t>
  </si>
  <si>
    <t>AGL-NOT-INM-002</t>
  </si>
  <si>
    <t>Insumos y publicaciones</t>
  </si>
  <si>
    <t>Salario Guadalupe</t>
  </si>
  <si>
    <t>Viáticos</t>
  </si>
  <si>
    <t>Traducciones tercero</t>
  </si>
  <si>
    <t>Arrendamiento local</t>
  </si>
  <si>
    <t>Julio</t>
  </si>
  <si>
    <t>Revisión de contrato</t>
  </si>
  <si>
    <t>AGL-COR-CON-001</t>
  </si>
  <si>
    <t>Mariano Bonilla</t>
  </si>
  <si>
    <t>Ronald Rojas</t>
  </si>
  <si>
    <t>AGL-NOT-CON-004</t>
  </si>
  <si>
    <t>Publicaciones y carencia</t>
  </si>
  <si>
    <t>Costo directo herencia Christine</t>
  </si>
  <si>
    <t>Internet</t>
  </si>
  <si>
    <t>Honorarios Guadalupe</t>
  </si>
  <si>
    <t>05 | Cartera y proyectos en ejecución</t>
  </si>
  <si>
    <t>Los importes pendientes no se consideran efectivo hasta ser cobrados. El cobro ponderado ajusta por probabilidad.</t>
  </si>
  <si>
    <t>ID</t>
  </si>
  <si>
    <t>Servicio / proyecto</t>
  </si>
  <si>
    <t>Honorarios totales ($)</t>
  </si>
  <si>
    <t>Cobrado ($)</t>
  </si>
  <si>
    <t>Saldo pendiente ($)</t>
  </si>
  <si>
    <t>Mes esperado</t>
  </si>
  <si>
    <t>Probabilidad</t>
  </si>
  <si>
    <t>Cobro ponderado ($)</t>
  </si>
  <si>
    <t>Próxima acción</t>
  </si>
  <si>
    <t>CAR-001</t>
  </si>
  <si>
    <t>Compraventa e hipoteca</t>
  </si>
  <si>
    <t>En ejecución</t>
  </si>
  <si>
    <t>Finalizar documentos y gestionar cobro</t>
  </si>
  <si>
    <t>CAR-002</t>
  </si>
  <si>
    <t>Ingrid Moreno</t>
  </si>
  <si>
    <t>Finalizar e inscribir</t>
  </si>
  <si>
    <t>CAR-003</t>
  </si>
  <si>
    <t>Inocencia Villatoro</t>
  </si>
  <si>
    <t>Completar expediente</t>
  </si>
  <si>
    <t>CAR-004</t>
  </si>
  <si>
    <t>Inocencia Canales</t>
  </si>
  <si>
    <t>Compraventa de terreno</t>
  </si>
  <si>
    <t>Pendiente de cotización</t>
  </si>
  <si>
    <t>Agosto</t>
  </si>
  <si>
    <t>Definir honorarios</t>
  </si>
  <si>
    <t>CAR-005</t>
  </si>
  <si>
    <t>Magdalena Wrobel</t>
  </si>
  <si>
    <t>Contrato</t>
  </si>
  <si>
    <t>Finalizar y cobrar</t>
  </si>
  <si>
    <t>CAR-006</t>
  </si>
  <si>
    <t>Remedición - primer 50%</t>
  </si>
  <si>
    <t>Cobrar segundo 50%</t>
  </si>
  <si>
    <t>CAR-007</t>
  </si>
  <si>
    <t>Corrección: $200 cobrado, $1,300 pendiente</t>
  </si>
  <si>
    <t>CAR-008</t>
  </si>
  <si>
    <t>Pago final aceptación de herencia</t>
  </si>
  <si>
    <t>Finalizar para cobrar</t>
  </si>
  <si>
    <t>CAR-009</t>
  </si>
  <si>
    <t>Fee mensual por horas</t>
  </si>
  <si>
    <t>Pendiente de cuantificar</t>
  </si>
  <si>
    <t>Registrar horas y emitir cobro</t>
  </si>
  <si>
    <t>06 | Salarios y honorarios mensuales</t>
  </si>
  <si>
    <t>Salarios objetivo que AG Legal debe cubrir desde julio hasta diciembre de 2026.</t>
  </si>
  <si>
    <t>Persona</t>
  </si>
  <si>
    <t>Cargo</t>
  </si>
  <si>
    <t>Monto mensual ($)</t>
  </si>
  <si>
    <t>Mes inicio</t>
  </si>
  <si>
    <t>Mes fin</t>
  </si>
  <si>
    <t>Meses 2026</t>
  </si>
  <si>
    <t>Costo Jul-Dic ($)</t>
  </si>
  <si>
    <t>PER-001</t>
  </si>
  <si>
    <t>Guadalupe Sánchez</t>
  </si>
  <si>
    <t>Abogada asociada</t>
  </si>
  <si>
    <t>PER-002</t>
  </si>
  <si>
    <t>Alfredo Gallegos</t>
  </si>
  <si>
    <t>Abogado y notario</t>
  </si>
  <si>
    <t>PER-003</t>
  </si>
  <si>
    <t>Andrea Escobar</t>
  </si>
  <si>
    <t>Manager / Desarrollo de Negocios</t>
  </si>
  <si>
    <t>Indicador</t>
  </si>
  <si>
    <t>Mensual</t>
  </si>
  <si>
    <t>Jul-Dic</t>
  </si>
  <si>
    <t>Total salarios</t>
  </si>
  <si>
    <t>07 | Gastos fijos y supuestos</t>
  </si>
  <si>
    <t>Los valores en azul son editables. El modelo parte de los costos identificados en julio.</t>
  </si>
  <si>
    <t>Concepto</t>
  </si>
  <si>
    <t>Meses</t>
  </si>
  <si>
    <t>GF-001</t>
  </si>
  <si>
    <t>Salarios</t>
  </si>
  <si>
    <t>Fijo</t>
  </si>
  <si>
    <t>GF-002</t>
  </si>
  <si>
    <t>GF-003</t>
  </si>
  <si>
    <t>GF-004</t>
  </si>
  <si>
    <t>Otros gastos administrativos</t>
  </si>
  <si>
    <t>Estimado</t>
  </si>
  <si>
    <t>GF-005</t>
  </si>
  <si>
    <t>Marketing y captación</t>
  </si>
  <si>
    <t>Meta</t>
  </si>
  <si>
    <t>Supuesto variable</t>
  </si>
  <si>
    <t>Valor</t>
  </si>
  <si>
    <t>Costo directo variable sobre ventas</t>
  </si>
  <si>
    <t>Margen operativo meta</t>
  </si>
  <si>
    <t>Margen de seguridad sobre punto de equilibrio</t>
  </si>
  <si>
    <t>Compensación variable</t>
  </si>
  <si>
    <t>Tratamiento</t>
  </si>
  <si>
    <t>Base</t>
  </si>
  <si>
    <t>Tasa</t>
  </si>
  <si>
    <t>Reconocimiento</t>
  </si>
  <si>
    <t>Incluida en punto de equilibrio</t>
  </si>
  <si>
    <t>Observación</t>
  </si>
  <si>
    <t>Comisión Andrea</t>
  </si>
  <si>
    <t>Costo variable comercial</t>
  </si>
  <si>
    <t>Utilidad directa cobrada</t>
  </si>
  <si>
    <t>5%-15%</t>
  </si>
  <si>
    <t>Al cobrar</t>
  </si>
  <si>
    <t>Variable</t>
  </si>
  <si>
    <t>No</t>
  </si>
  <si>
    <t>Debe calcularse en el sistema, no como gasto fijo</t>
  </si>
  <si>
    <t>Salario Andrea</t>
  </si>
  <si>
    <t>Costo fijo</t>
  </si>
  <si>
    <t>$250</t>
  </si>
  <si>
    <t>Sí</t>
  </si>
  <si>
    <t>Ya incluido en salarios</t>
  </si>
  <si>
    <t>No proyectar comisión sobre honorarios contratados o cartera no cobrada</t>
  </si>
  <si>
    <t>08 | Proyección comercial por tipo de servicio | Julio–Diciembre 2026</t>
  </si>
  <si>
    <t>La proyección se construye por familias de servicios: volumen esperado × ticket objetivo. No se distribuyen ventas por persona. Los salarios se tratan únicamente como costos fijos.</t>
  </si>
  <si>
    <t>Código familia</t>
  </si>
  <si>
    <t>Familia de servicios</t>
  </si>
  <si>
    <t>Servicios incluidos</t>
  </si>
  <si>
    <t>Casos históricos</t>
  </si>
  <si>
    <t>Ingresos históricos ($)</t>
  </si>
  <si>
    <t>Ticket histórico ($)</t>
  </si>
  <si>
    <t>Ticket objetivo ($)</t>
  </si>
  <si>
    <t>Margen directo estimado %</t>
  </si>
  <si>
    <t>Jul Cant.</t>
  </si>
  <si>
    <t>Jul Ingreso ($)</t>
  </si>
  <si>
    <t>Ago Cant.</t>
  </si>
  <si>
    <t>Ago Ingreso ($)</t>
  </si>
  <si>
    <t>Sep Cant.</t>
  </si>
  <si>
    <t>Sep Ingreso ($)</t>
  </si>
  <si>
    <t>Oct Cant.</t>
  </si>
  <si>
    <t>Oct Ingreso ($)</t>
  </si>
  <si>
    <t>Nov Cant.</t>
  </si>
  <si>
    <t>Nov Ingreso ($)</t>
  </si>
  <si>
    <t>Dic Cant.</t>
  </si>
  <si>
    <t>Dic Ingreso ($)</t>
  </si>
  <si>
    <t>Total casos</t>
  </si>
  <si>
    <t>Total ingresos ($)</t>
  </si>
  <si>
    <t>FAM-01</t>
  </si>
  <si>
    <t>Notariales rápidos</t>
  </si>
  <si>
    <t>Actas, auténticas, declaraciones, autorizaciones, certificaciones y compraventas de vehículo</t>
  </si>
  <si>
    <t>FAM-02</t>
  </si>
  <si>
    <t>Asesorías, contratos y gestiones</t>
  </si>
  <si>
    <t>Asesorías, escritos, arrendamientos, revisión contractual y acompañamientos administrativos</t>
  </si>
  <si>
    <t>FAM-03</t>
  </si>
  <si>
    <t>Inmobiliario y registral</t>
  </si>
  <si>
    <t>Compraventas de inmueble, promesas, hipotecas, investigaciones registrales y remediciones</t>
  </si>
  <si>
    <t>FAM-04</t>
  </si>
  <si>
    <t>Herencias y planificación patrimonial</t>
  </si>
  <si>
    <t>Aceptaciones de herencia, cesiones de derechos, publicaciones y trámites sucesorios</t>
  </si>
  <si>
    <t>FAM-05</t>
  </si>
  <si>
    <t>Corporativo y administrativo especializado</t>
  </si>
  <si>
    <t>Protocolizaciones, OPAMSS, trámites complejos, conciliaciones y servicios empresariales</t>
  </si>
  <si>
    <t>FAM-06</t>
  </si>
  <si>
    <t>Migración, relocalización y servicios internacionales</t>
  </si>
  <si>
    <t>NIT, residencias, acompañamiento migratorio, traducciones y relocalización</t>
  </si>
  <si>
    <t>TOTAL PROYECCIÓN POR SERVICIOS</t>
  </si>
  <si>
    <t>Resultado mensual</t>
  </si>
  <si>
    <t>Septiembre</t>
  </si>
  <si>
    <t>Octubre</t>
  </si>
  <si>
    <t>Noviembre</t>
  </si>
  <si>
    <t>Diciembre</t>
  </si>
  <si>
    <t>Ingresos proyectados por servicios</t>
  </si>
  <si>
    <t>Costos directos estimados</t>
  </si>
  <si>
    <t>Margen de contribución</t>
  </si>
  <si>
    <t>Gastos fijos mensuales</t>
  </si>
  <si>
    <t>Utilidad operativa</t>
  </si>
  <si>
    <t>Margen operativo %</t>
  </si>
  <si>
    <t>Diferencia vs. punto de equilibrio</t>
  </si>
  <si>
    <t>09 | Punto de equilibrio y metas mínimas</t>
  </si>
  <si>
    <t>Calcula cuánto debe cobrarse mensualmente para cubrir costos y generar utilidad.</t>
  </si>
  <si>
    <t>Resultado</t>
  </si>
  <si>
    <t>Costo variable %</t>
  </si>
  <si>
    <t>Punto de equilibrio de ventas</t>
  </si>
  <si>
    <t>Meta con margen de seguridad</t>
  </si>
  <si>
    <t>Ventas para margen operativo meta</t>
  </si>
  <si>
    <t>Salarios cubiertos por las ventas meta</t>
  </si>
  <si>
    <t>Ejemplo de mezcla mínima</t>
  </si>
  <si>
    <t>Cantidad</t>
  </si>
  <si>
    <t>Ticket promedio ($)</t>
  </si>
  <si>
    <t>Ingresos ($)</t>
  </si>
  <si>
    <t>Objetivo</t>
  </si>
  <si>
    <t>Comentario</t>
  </si>
  <si>
    <t>Servicios rápidos notariales</t>
  </si>
  <si>
    <t>Flujo inmediato</t>
  </si>
  <si>
    <t>Poderes, auténticas, declaraciones</t>
  </si>
  <si>
    <t>Contratos / asesorías</t>
  </si>
  <si>
    <t>Frecuencia</t>
  </si>
  <si>
    <t>Contratos, revisiones y acompañamientos</t>
  </si>
  <si>
    <t>Operaciones inmobiliarias</t>
  </si>
  <si>
    <t>Margen</t>
  </si>
  <si>
    <t>Compraventas, hipotecas y promesas</t>
  </si>
  <si>
    <t>Herencia / proceso de mayor valor</t>
  </si>
  <si>
    <t>Ticket alto</t>
  </si>
  <si>
    <t>Cobro por etapas</t>
  </si>
  <si>
    <t>TOTAL</t>
  </si>
  <si>
    <t>10 | Dashboard ejecutivo</t>
  </si>
  <si>
    <t>Vista rápida de cobros, cartera, punto de equilibrio y utilidad proyectada.</t>
  </si>
  <si>
    <t>COBRADO MAR-JUL</t>
  </si>
  <si>
    <t>CARTERA PENDIENTE</t>
  </si>
  <si>
    <t>PUNTO DE EQUILIBRIO</t>
  </si>
  <si>
    <t>META SEGURA</t>
  </si>
  <si>
    <t>Ingresos proyectados ($)</t>
  </si>
  <si>
    <t>Utilidad operativa ($)</t>
  </si>
  <si>
    <t>REQUERIMIENTOS PARA IMPLEMENTACIÓN EN EL SISTEMA</t>
  </si>
  <si>
    <t>Fuente</t>
  </si>
  <si>
    <t>Cálculo</t>
  </si>
  <si>
    <t>Actualización</t>
  </si>
  <si>
    <t>Filtro mínimo</t>
  </si>
  <si>
    <t>Drill-down</t>
  </si>
  <si>
    <t>Cumplimiento ingresos</t>
  </si>
  <si>
    <t>Cobros + forecast</t>
  </si>
  <si>
    <t>Ingresos cobrados / meta</t>
  </si>
  <si>
    <t>Automática</t>
  </si>
  <si>
    <t>Mes, categoría</t>
  </si>
  <si>
    <t>Expedientes</t>
  </si>
  <si>
    <t>Cumplimiento casos</t>
  </si>
  <si>
    <t>Expedientes + forecast</t>
  </si>
  <si>
    <t>Casos reales / meta casos</t>
  </si>
  <si>
    <t>Mes, familia</t>
  </si>
  <si>
    <t>Servicios</t>
  </si>
  <si>
    <t>Cobros + costos + gastos + comisión</t>
  </si>
  <si>
    <t>Ingresos - costos - gastos - comisión</t>
  </si>
  <si>
    <t>P&amp;L</t>
  </si>
  <si>
    <t>Origen + cobro + utilidad directa</t>
  </si>
  <si>
    <t>Escala 10%-12%-15% o 5% cross-sell</t>
  </si>
  <si>
    <t>Automática al cobrar</t>
  </si>
  <si>
    <t>Mes, expediente</t>
  </si>
  <si>
    <t>Detalle de comisión</t>
  </si>
  <si>
    <t>Servicios frecuentes/rentables</t>
  </si>
  <si>
    <t>Expedientes + cobros</t>
  </si>
  <si>
    <t>Frecuencia, utilidad directa y margen</t>
  </si>
  <si>
    <t>Categoría, servicio</t>
  </si>
  <si>
    <t>RESUMEN DE CUMPLIMIENTO MENSUAL</t>
  </si>
  <si>
    <t>Meta ingresos</t>
  </si>
  <si>
    <t>Ingresos reales</t>
  </si>
  <si>
    <t>Utilidad operativa real</t>
  </si>
  <si>
    <t>Utilidad mínima</t>
  </si>
  <si>
    <t>Semáforo</t>
  </si>
  <si>
    <t>11 | Listas de control</t>
  </si>
  <si>
    <t>Valores auxiliares para el sistema.</t>
  </si>
  <si>
    <t>Estado servicio</t>
  </si>
  <si>
    <t>Unidad cobro</t>
  </si>
  <si>
    <t>Estado cartera</t>
  </si>
  <si>
    <t>Tipo operación</t>
  </si>
  <si>
    <t>Precio fijo</t>
  </si>
  <si>
    <t>Socio / Notario</t>
  </si>
  <si>
    <t>Inactivo</t>
  </si>
  <si>
    <t>Por hora</t>
  </si>
  <si>
    <t>En diseño</t>
  </si>
  <si>
    <t>Por etapa</t>
  </si>
  <si>
    <t>Manager</t>
  </si>
  <si>
    <t>Finalizado pendiente de facturar</t>
  </si>
  <si>
    <t>Asistente legal</t>
  </si>
  <si>
    <t>Porcentaje</t>
  </si>
  <si>
    <t>Facturado pendiente de cobro</t>
  </si>
  <si>
    <t>Equipo mixto</t>
  </si>
  <si>
    <t>Suspendido</t>
  </si>
  <si>
    <t>La compensación se calcula únicamente sobre utilidad directa efectivamente cobrada de negocios originados o ampliados por Andrea.</t>
  </si>
  <si>
    <t>Regla ID</t>
  </si>
  <si>
    <t>Tipo de negocio</t>
  </si>
  <si>
    <t>Condición</t>
  </si>
  <si>
    <t>Base de cálculo</t>
  </si>
  <si>
    <t>Tramo desde ($)</t>
  </si>
  <si>
    <t>Tramo hasta ($)</t>
  </si>
  <si>
    <t>Momento de reconocimiento</t>
  </si>
  <si>
    <t>Exclusiones</t>
  </si>
  <si>
    <t>Responsable de validación</t>
  </si>
  <si>
    <t>COM-001</t>
  </si>
  <si>
    <t>Cliente nuevo originado y cerrado por Andrea</t>
  </si>
  <si>
    <t>Andrea identifica, desarrolla, cotiza o coordina la propuesta y logra la aceptación del cliente.</t>
  </si>
  <si>
    <t>Al cobrarse efectivamente el honorario</t>
  </si>
  <si>
    <t>IVA, tasas, publicaciones, derechos registrales, gastos reembolsables, fondos de terceros y devoluciones</t>
  </si>
  <si>
    <t>Administración / Socio</t>
  </si>
  <si>
    <t>COM-002</t>
  </si>
  <si>
    <t>Segundo tramo mensual acumulado de utilidad directa originada.</t>
  </si>
  <si>
    <t>COM-003</t>
  </si>
  <si>
    <t>Tercer tramo mensual acumulado de utilidad directa originada.</t>
  </si>
  <si>
    <t>COM-004</t>
  </si>
  <si>
    <t>Venta cruzada a cliente existente</t>
  </si>
  <si>
    <t>Andrea genera y cierra un servicio adicional para un cliente ya perteneciente a AG Legal.</t>
  </si>
  <si>
    <t>Servicios ya contratados, renovaciones automáticas y simples seguimientos administrativos</t>
  </si>
  <si>
    <t>Definición funcional</t>
  </si>
  <si>
    <t>Honorario cobrado</t>
  </si>
  <si>
    <t>Importe neto efectivamente recibido por AG Legal por el servicio.</t>
  </si>
  <si>
    <t>Costo directo</t>
  </si>
  <si>
    <t>Costo atribuible al expediente: terceros, gestor, transporte específico, traducción, publicación o insumo particular.</t>
  </si>
  <si>
    <t>Utilidad directa</t>
  </si>
  <si>
    <t>Honorario cobrado menos costo directo atribuible al servicio.</t>
  </si>
  <si>
    <t>Negocio originado</t>
  </si>
  <si>
    <t>Cliente o asunto nuevo conseguido por Andrea y registrado con evidencia de origen.</t>
  </si>
  <si>
    <t>Venta cruzada</t>
  </si>
  <si>
    <t>Servicio nuevo vendido a un cliente existente de la firma.</t>
  </si>
  <si>
    <t>Fecha de comisión</t>
  </si>
  <si>
    <t>Mes en el que el efectivo se recibe, no la fecha de cotización o contratación.</t>
  </si>
  <si>
    <t>Reversión</t>
  </si>
  <si>
    <t>Si existe devolución o ajuste posterior, la comisión se corrige en el siguiente período.</t>
  </si>
  <si>
    <t>Ejemplo</t>
  </si>
  <si>
    <t>Utilidad directa mensual ($)</t>
  </si>
  <si>
    <t>10% tramo 1</t>
  </si>
  <si>
    <t>12% tramo 2</t>
  </si>
  <si>
    <t>15% tramo 3</t>
  </si>
  <si>
    <t>Comisión total ($)</t>
  </si>
  <si>
    <t>Caso A</t>
  </si>
  <si>
    <t>Caso B</t>
  </si>
  <si>
    <t>Caso C</t>
  </si>
  <si>
    <t>Caso D</t>
  </si>
  <si>
    <t>Fórmula de referencia</t>
  </si>
  <si>
    <t>MIN(U,1000)*10% + MAX(MIN(U-1000,1500),0)*12% + MAX(U-2500,0)*15%</t>
  </si>
  <si>
    <t>13 | ANEXO TÉCNICO — consultar después de 00_PARA_DESARROLLADOR</t>
  </si>
  <si>
    <t>Esta hoja conserva el detalle ampliado de campos. La hoja principal y obligatoria para iniciar la implementación es 00_PARA_DESARROLLADOR.</t>
  </si>
  <si>
    <t>Módulo</t>
  </si>
  <si>
    <t>Entidad / tabla</t>
  </si>
  <si>
    <t>Campo</t>
  </si>
  <si>
    <t>Tipo de dato</t>
  </si>
  <si>
    <t>Obligatorio</t>
  </si>
  <si>
    <t>Editable</t>
  </si>
  <si>
    <t>Fuente / relación</t>
  </si>
  <si>
    <t>Regla de validación</t>
  </si>
  <si>
    <t>Cálculo automático</t>
  </si>
  <si>
    <t>Uso en dashboard</t>
  </si>
  <si>
    <t>Histórico requerido</t>
  </si>
  <si>
    <t>Observaciones</t>
  </si>
  <si>
    <t>Catálogo</t>
  </si>
  <si>
    <t>categorias</t>
  </si>
  <si>
    <t>codigo_categoria</t>
  </si>
  <si>
    <t>Texto 3-4</t>
  </si>
  <si>
    <t>Maestro</t>
  </si>
  <si>
    <t>Único, mayúsculas, no reutilizable</t>
  </si>
  <si>
    <t>Filtro y agrupación</t>
  </si>
  <si>
    <t>Clave primaria funcional</t>
  </si>
  <si>
    <t>nombre_categoria</t>
  </si>
  <si>
    <t>Texto</t>
  </si>
  <si>
    <t>Nombre único</t>
  </si>
  <si>
    <t>Etiqueta</t>
  </si>
  <si>
    <t>subcategorias</t>
  </si>
  <si>
    <t>codigo_subcategoria</t>
  </si>
  <si>
    <t>Texto 3</t>
  </si>
  <si>
    <t>Depende de categoría</t>
  </si>
  <si>
    <t>Único dentro de categoría</t>
  </si>
  <si>
    <t>INM</t>
  </si>
  <si>
    <t>servicios</t>
  </si>
  <si>
    <t>codigo_servicio</t>
  </si>
  <si>
    <t>Categoría + subcategoría + secuencia</t>
  </si>
  <si>
    <t>Formato AGL-CAT-SUB-000</t>
  </si>
  <si>
    <t>Búsqueda y drill-down</t>
  </si>
  <si>
    <t>Nunca reutilizar</t>
  </si>
  <si>
    <t>nombre_servicio</t>
  </si>
  <si>
    <t>No duplicar prestación idéntica</t>
  </si>
  <si>
    <t>Ranking servicios</t>
  </si>
  <si>
    <t>etiquetas</t>
  </si>
  <si>
    <t>Texto múltiple</t>
  </si>
  <si>
    <t>Separadas por coma</t>
  </si>
  <si>
    <t>Búsqueda transversal</t>
  </si>
  <si>
    <t>familia, inmueble, notarial</t>
  </si>
  <si>
    <t>Media</t>
  </si>
  <si>
    <t>Operaciones</t>
  </si>
  <si>
    <t>expedientes</t>
  </si>
  <si>
    <t>id_expediente</t>
  </si>
  <si>
    <t>Autonumérico</t>
  </si>
  <si>
    <t>Sistema</t>
  </si>
  <si>
    <t>Único</t>
  </si>
  <si>
    <t>Conteo casos</t>
  </si>
  <si>
    <t>EXP-2026-0001</t>
  </si>
  <si>
    <t>cliente_id</t>
  </si>
  <si>
    <t>Relación</t>
  </si>
  <si>
    <t>Clientes</t>
  </si>
  <si>
    <t>Cliente válido</t>
  </si>
  <si>
    <t>Clientes nuevos/recurrentes</t>
  </si>
  <si>
    <t>CLI-001</t>
  </si>
  <si>
    <t>Catálogo servicios</t>
  </si>
  <si>
    <t>Solo servicios activos</t>
  </si>
  <si>
    <t>Completa categoría y subcategoría</t>
  </si>
  <si>
    <t>Ventas por servicio</t>
  </si>
  <si>
    <t>origen_negocio</t>
  </si>
  <si>
    <t>Lista</t>
  </si>
  <si>
    <t>Lista control</t>
  </si>
  <si>
    <t>Andrea / Alfredo / Guadalupe / Referido / Orgánico / Otro</t>
  </si>
  <si>
    <t>Ventas por origen</t>
  </si>
  <si>
    <t>Andrea</t>
  </si>
  <si>
    <t>Base de comisión</t>
  </si>
  <si>
    <t>tipo_origen</t>
  </si>
  <si>
    <t>Cliente nuevo / Venta cruzada / Cliente existente</t>
  </si>
  <si>
    <t>Conversión y comisión</t>
  </si>
  <si>
    <t>Cliente nuevo</t>
  </si>
  <si>
    <t>honorarios_contratados</t>
  </si>
  <si>
    <t>Moneda</t>
  </si>
  <si>
    <t>Contrato/propuesta</t>
  </si>
  <si>
    <t>Mayor o igual a cero</t>
  </si>
  <si>
    <t>Pipeline y ticket</t>
  </si>
  <si>
    <t>750</t>
  </si>
  <si>
    <t>Excluir IVA y reembolsos</t>
  </si>
  <si>
    <t>costos_directos_estimados</t>
  </si>
  <si>
    <t>Presupuesto expediente</t>
  </si>
  <si>
    <t>Utilidad directa estimada</t>
  </si>
  <si>
    <t>Margen proyectado</t>
  </si>
  <si>
    <t>70</t>
  </si>
  <si>
    <t>estado_expediente</t>
  </si>
  <si>
    <t>Workflow</t>
  </si>
  <si>
    <t>Cotizado / Aceptado / En ejecución / Finalizado / Facturado / Cobrado / Suspendido</t>
  </si>
  <si>
    <t>Pipeline</t>
  </si>
  <si>
    <t>mes_cobro_esperado</t>
  </si>
  <si>
    <t>Fecha mes</t>
  </si>
  <si>
    <t>Gestión</t>
  </si>
  <si>
    <t>No anterior a fecha de apertura</t>
  </si>
  <si>
    <t>Proyección mensual</t>
  </si>
  <si>
    <t>Forecast</t>
  </si>
  <si>
    <t>2026-08</t>
  </si>
  <si>
    <t>Cobros</t>
  </si>
  <si>
    <t>cobros</t>
  </si>
  <si>
    <t>monto_honorario_cobrado</t>
  </si>
  <si>
    <t>Expediente</t>
  </si>
  <si>
    <t>No incluir IVA ni gastos de terceros</t>
  </si>
  <si>
    <t>Saldo pendiente</t>
  </si>
  <si>
    <t>Ingresos cobrados</t>
  </si>
  <si>
    <t>200</t>
  </si>
  <si>
    <t>fecha_cobro</t>
  </si>
  <si>
    <t>Banco/caja</t>
  </si>
  <si>
    <t>Fecha válida</t>
  </si>
  <si>
    <t>Mes real de ingreso</t>
  </si>
  <si>
    <t>Cumplimiento mensual</t>
  </si>
  <si>
    <t>2026-07-15</t>
  </si>
  <si>
    <t>monto_costo_directo_real</t>
  </si>
  <si>
    <t>Utilidad directa real</t>
  </si>
  <si>
    <t>Margen real</t>
  </si>
  <si>
    <t>25</t>
  </si>
  <si>
    <t>utilidad_directa_real</t>
  </si>
  <si>
    <t>Cobro - costo directo</t>
  </si>
  <si>
    <t>Puede ser negativa</t>
  </si>
  <si>
    <t>Honorario neto - costo directo</t>
  </si>
  <si>
    <t>Comisión y rentabilidad</t>
  </si>
  <si>
    <t>175</t>
  </si>
  <si>
    <t>Comisión</t>
  </si>
  <si>
    <t>comisiones</t>
  </si>
  <si>
    <t>elegible_comision_andrea</t>
  </si>
  <si>
    <t>Booleano</t>
  </si>
  <si>
    <t>Origen y tipo de negocio</t>
  </si>
  <si>
    <t>Debe existir evidencia del origen</t>
  </si>
  <si>
    <t>Sí/No por reglas</t>
  </si>
  <si>
    <t>Comisión devengada</t>
  </si>
  <si>
    <t>porcentaje_aplicable</t>
  </si>
  <si>
    <t>Reglas COM-001 a COM-004</t>
  </si>
  <si>
    <t>5%, 10%, 12% o 15%</t>
  </si>
  <si>
    <t>Escalonado por mes</t>
  </si>
  <si>
    <t>Costo variable</t>
  </si>
  <si>
    <t>10%</t>
  </si>
  <si>
    <t>comision_devengada</t>
  </si>
  <si>
    <t>Solo después del cobro</t>
  </si>
  <si>
    <t>Según tramos y venta cruzada</t>
  </si>
  <si>
    <t>Comisión mensual</t>
  </si>
  <si>
    <t>60</t>
  </si>
  <si>
    <t>forecast</t>
  </si>
  <si>
    <t>volumen_meta</t>
  </si>
  <si>
    <t>Entero</t>
  </si>
  <si>
    <t>Familia + mes</t>
  </si>
  <si>
    <t>Volumen × ticket objetivo</t>
  </si>
  <si>
    <t>Cumplimiento de volumen</t>
  </si>
  <si>
    <t>3</t>
  </si>
  <si>
    <t>ticket_objetivo</t>
  </si>
  <si>
    <t>Ingreso meta</t>
  </si>
  <si>
    <t>Cumplimiento de ingresos</t>
  </si>
  <si>
    <t>300</t>
  </si>
  <si>
    <t>ingreso_proyectado</t>
  </si>
  <si>
    <t>Volumen × ticket</t>
  </si>
  <si>
    <t>Fórmula automática</t>
  </si>
  <si>
    <t>volumen_meta*ticket_objetivo</t>
  </si>
  <si>
    <t>Forecast mensual</t>
  </si>
  <si>
    <t>900</t>
  </si>
  <si>
    <t>probabilidad_cobro</t>
  </si>
  <si>
    <t>Estado expediente</t>
  </si>
  <si>
    <t>0% a 100%</t>
  </si>
  <si>
    <t>Saldo pendiente × probabilidad</t>
  </si>
  <si>
    <t>Forecast ponderado</t>
  </si>
  <si>
    <t>90%</t>
  </si>
  <si>
    <t>REQUISITOS ADICIONALES: PLAN DE CUENTAS Y MOVIMIENTOS</t>
  </si>
  <si>
    <t>Finanzas</t>
  </si>
  <si>
    <t>plan_cuentas</t>
  </si>
  <si>
    <t>codigo_cuenta</t>
  </si>
  <si>
    <t>Plan de cuentas</t>
  </si>
  <si>
    <t>Único; formato ING-XXX-000 o EGR-XXX-000</t>
  </si>
  <si>
    <t>Agrupación de ingresos y egresos</t>
  </si>
  <si>
    <t>ING-RAI-001</t>
  </si>
  <si>
    <t>Todo movimiento debe tener código de cuenta.</t>
  </si>
  <si>
    <t>movimientos</t>
  </si>
  <si>
    <t>tipo_movimiento</t>
  </si>
  <si>
    <t>Ingreso / Egreso</t>
  </si>
  <si>
    <t>Debe coincidir con el prefijo de código cuenta</t>
  </si>
  <si>
    <t>P&amp;L y flujo</t>
  </si>
  <si>
    <t>ING solo para ingresos; EGR solo para egresos.</t>
  </si>
  <si>
    <t>Cuenta activa y compatible con tipo de movimiento</t>
  </si>
  <si>
    <t>Completa cuenta, grupo y centro de costo</t>
  </si>
  <si>
    <t>P&amp;L por cuenta</t>
  </si>
  <si>
    <t>EGR-LOC-001</t>
  </si>
  <si>
    <t>Condicional</t>
  </si>
  <si>
    <t>Obligatorio para ingresos jurídicos y costos directos de expediente</t>
  </si>
  <si>
    <t>Rentabilidad por servicio</t>
  </si>
  <si>
    <t>Puede quedar vacío para salarios o renta.</t>
  </si>
  <si>
    <t>monto_bruto</t>
  </si>
  <si>
    <t>Documento fuente</t>
  </si>
  <si>
    <t>Monto neto operativo</t>
  </si>
  <si>
    <t>Ingresos y egresos</t>
  </si>
  <si>
    <t>350</t>
  </si>
  <si>
    <t>monto_reembolsable</t>
  </si>
  <si>
    <t>Excluir de utilidad y comisión</t>
  </si>
  <si>
    <t>Flujo de terceros</t>
  </si>
  <si>
    <t>23.75</t>
  </si>
  <si>
    <t>monto_neto_operativo</t>
  </si>
  <si>
    <t>Bruto - IVA - reembolsable</t>
  </si>
  <si>
    <t>monto_bruto-IVA-reembolsable</t>
  </si>
  <si>
    <t>P&amp;L y comisión</t>
  </si>
  <si>
    <t>326.25</t>
  </si>
  <si>
    <t>REQUISITOS DE GOBIERNO DEL CATÁLOGO</t>
  </si>
  <si>
    <t>Gobierno catálogo</t>
  </si>
  <si>
    <t>solicitudes_catalogo</t>
  </si>
  <si>
    <t>id_solicitud</t>
  </si>
  <si>
    <t>Único y secuencial</t>
  </si>
  <si>
    <t>Generación automática</t>
  </si>
  <si>
    <t>Auditoría de cambios</t>
  </si>
  <si>
    <t>SOL-2026-001</t>
  </si>
  <si>
    <t>tipo_solicitud</t>
  </si>
  <si>
    <t>Alta/Modificación/Inactivación</t>
  </si>
  <si>
    <t>Valor permitido</t>
  </si>
  <si>
    <t>Análisis de cambios</t>
  </si>
  <si>
    <t>tipo_registro</t>
  </si>
  <si>
    <t>Categoría/Subcategoría/Servicio</t>
  </si>
  <si>
    <t>resultado_duplicidad</t>
  </si>
  <si>
    <t>Revisión del catálogo</t>
  </si>
  <si>
    <t>Debe completarse antes de aprobar</t>
  </si>
  <si>
    <t>Control interno</t>
  </si>
  <si>
    <t>Sin duplicidad</t>
  </si>
  <si>
    <t>estado_solicitud</t>
  </si>
  <si>
    <t>Solicitado/En revisión/Aprobado/Rechazado/Activo/Inactivo</t>
  </si>
  <si>
    <t>Control de flujo</t>
  </si>
  <si>
    <t>Seguimiento</t>
  </si>
  <si>
    <t>En revisión</t>
  </si>
  <si>
    <t>historial_catalogo</t>
  </si>
  <si>
    <t>version_anterior</t>
  </si>
  <si>
    <t>JSON/Texto</t>
  </si>
  <si>
    <t>Registro previo</t>
  </si>
  <si>
    <t>Inmutable</t>
  </si>
  <si>
    <t>Guardar antes del cambio</t>
  </si>
  <si>
    <t>Auditoría</t>
  </si>
  <si>
    <t>usuario_cambio</t>
  </si>
  <si>
    <t>Usuarios</t>
  </si>
  <si>
    <t>Usuario autenticado</t>
  </si>
  <si>
    <t>Automático</t>
  </si>
  <si>
    <t>USR-001</t>
  </si>
  <si>
    <t>fecha_cambio</t>
  </si>
  <si>
    <t>Fecha/hora</t>
  </si>
  <si>
    <t>Timestamp automático</t>
  </si>
  <si>
    <t>2026-07-16 10:00</t>
  </si>
  <si>
    <t>ACTUALIZACIÓN FUNCIONAL: DERECHO PENAL</t>
  </si>
  <si>
    <t>Código fijo</t>
  </si>
  <si>
    <t>Categoría independiente; no registrar servicios penales bajo LIT.</t>
  </si>
  <si>
    <t>Filtro y rentabilidad penal</t>
  </si>
  <si>
    <t>LIT queda para controversias mercantiles, civiles, laborales y métodos alternos.</t>
  </si>
  <si>
    <t>codigo_servicio_penal</t>
  </si>
  <si>
    <t>PEN + subcategoría + secuencia</t>
  </si>
  <si>
    <t>Formato AGL-PEN-SUB-000</t>
  </si>
  <si>
    <t>Seguimiento por tipo penal</t>
  </si>
  <si>
    <t>Toda actuación penal debe utilizar un código de la categoría PEN.</t>
  </si>
  <si>
    <t>ING-PEN-001</t>
  </si>
  <si>
    <t>Código cuenta</t>
  </si>
  <si>
    <t>Usar en cobros por servicios penales</t>
  </si>
  <si>
    <t>Ingresos por categoría</t>
  </si>
  <si>
    <t>14 | Requerimientos del dashboard</t>
  </si>
  <si>
    <t>Indicadores que el sistema debe calcular automáticamente a partir de expedientes, cobros, costos, cartera y metas.</t>
  </si>
  <si>
    <t>KPI ID</t>
  </si>
  <si>
    <t>Definición</t>
  </si>
  <si>
    <t>Fórmula funcional</t>
  </si>
  <si>
    <t>Filtros</t>
  </si>
  <si>
    <t>Visual recomendado</t>
  </si>
  <si>
    <t>Meta / semáforo</t>
  </si>
  <si>
    <t>Fuente principal</t>
  </si>
  <si>
    <t>KPI-001</t>
  </si>
  <si>
    <t>Honorarios netos efectivamente recibidos en el período.</t>
  </si>
  <si>
    <t>SUM(monto_honorario_cobrado)</t>
  </si>
  <si>
    <t>Diaria / mensual</t>
  </si>
  <si>
    <t>Mes, categoría, subcategoría, servicio, origen</t>
  </si>
  <si>
    <t>Tarjeta + línea mensual</t>
  </si>
  <si>
    <t>Verde &gt;= meta; amarillo 90%-99%; rojo &lt;90%</t>
  </si>
  <si>
    <t>Lista de cobros</t>
  </si>
  <si>
    <t>KPI-002</t>
  </si>
  <si>
    <t>Ingresos proyectados</t>
  </si>
  <si>
    <t>Volumen meta por ticket objetivo, más cartera ponderada.</t>
  </si>
  <si>
    <t>SUM(volumen_meta*ticket_objetivo)+SUM(saldo_pendiente*probabilidad)</t>
  </si>
  <si>
    <t>Mes y familia</t>
  </si>
  <si>
    <t>Columnas meta vs real</t>
  </si>
  <si>
    <t>Comparar contra presupuesto</t>
  </si>
  <si>
    <t>Forecast + cartera</t>
  </si>
  <si>
    <t>Expedientes proyectados</t>
  </si>
  <si>
    <t>KPI-003</t>
  </si>
  <si>
    <t>Porcentaje de ingresos cobrados contra meta mensual.</t>
  </si>
  <si>
    <t>Ingresos cobrados / Meta ingresos</t>
  </si>
  <si>
    <t>Gauge o barra de progreso</t>
  </si>
  <si>
    <t>Verde &gt;=100%; amarillo 85%-99%; rojo &lt;85%</t>
  </si>
  <si>
    <t>Servicios del mes</t>
  </si>
  <si>
    <t>KPI-004</t>
  </si>
  <si>
    <t>Punto de equilibrio</t>
  </si>
  <si>
    <t>Ventas necesarias para cubrir gastos fijos y costos variables.</t>
  </si>
  <si>
    <t>Gastos fijos / (1 - % costo variable)</t>
  </si>
  <si>
    <t>Tarjeta y línea de referencia</t>
  </si>
  <si>
    <t>Verde si ingresos &gt; punto equilibrio</t>
  </si>
  <si>
    <t>Gastos + supuestos</t>
  </si>
  <si>
    <t>Detalle costos</t>
  </si>
  <si>
    <t>KPI-005</t>
  </si>
  <si>
    <t>Ingresos cobrados menos costos directos, gastos fijos y comisión.</t>
  </si>
  <si>
    <t>Ingresos - costos directos - gastos fijos - comisión</t>
  </si>
  <si>
    <t>Tarjeta + tendencia</t>
  </si>
  <si>
    <t>Verde &gt;0; rojo &lt;0</t>
  </si>
  <si>
    <t>Cobros + gastos + comisiones</t>
  </si>
  <si>
    <t>P&amp;L mensual</t>
  </si>
  <si>
    <t>KPI-006</t>
  </si>
  <si>
    <t>Margen operativo</t>
  </si>
  <si>
    <t>Utilidad operativa como porcentaje de ingresos cobrados.</t>
  </si>
  <si>
    <t>Utilidad operativa / Ingresos cobrados</t>
  </si>
  <si>
    <t>Tarjeta porcentual</t>
  </si>
  <si>
    <t>Meta inicial 20%</t>
  </si>
  <si>
    <t>Detalle mensual</t>
  </si>
  <si>
    <t>KPI-007</t>
  </si>
  <si>
    <t>Cartera pendiente</t>
  </si>
  <si>
    <t>Honorarios contratados aún no cobrados.</t>
  </si>
  <si>
    <t>SUM(honorarios_contratados - cobros)</t>
  </si>
  <si>
    <t>Diaria</t>
  </si>
  <si>
    <t>Estado, mes esperado, cliente</t>
  </si>
  <si>
    <t>Tarjeta + aging</t>
  </si>
  <si>
    <t>Rojo si vencida</t>
  </si>
  <si>
    <t>Detalle expediente</t>
  </si>
  <si>
    <t>KPI-008</t>
  </si>
  <si>
    <t>Cartera ponderada</t>
  </si>
  <si>
    <t>Saldo pendiente ajustado por probabilidad de cobro.</t>
  </si>
  <si>
    <t>SUM(saldo_pendiente*probabilidad)</t>
  </si>
  <si>
    <t>Mes esperado, estado</t>
  </si>
  <si>
    <t>Columnas por mes</t>
  </si>
  <si>
    <t>Comparar con meta</t>
  </si>
  <si>
    <t>Detalle cartera</t>
  </si>
  <si>
    <t>KPI-009</t>
  </si>
  <si>
    <t>Ticket promedio</t>
  </si>
  <si>
    <t>Ingreso cobrado promedio por expediente o servicio.</t>
  </si>
  <si>
    <t>Ingresos cobrados / expedientes cobrados</t>
  </si>
  <si>
    <t>Tarjeta + ranking</t>
  </si>
  <si>
    <t>Comparar con ticket objetivo</t>
  </si>
  <si>
    <t>Expedientes cobrados</t>
  </si>
  <si>
    <t>KPI-010</t>
  </si>
  <si>
    <t>Servicios más frecuentes</t>
  </si>
  <si>
    <t>Número de expedientes por servicio.</t>
  </si>
  <si>
    <t>COUNT(expedientes) por código servicio</t>
  </si>
  <si>
    <t>Top 10 barras</t>
  </si>
  <si>
    <t>Sin semáforo</t>
  </si>
  <si>
    <t>Lista expedientes</t>
  </si>
  <si>
    <t>KPI-011</t>
  </si>
  <si>
    <t>Servicios más rentables</t>
  </si>
  <si>
    <t>Utilidad directa y margen por servicio.</t>
  </si>
  <si>
    <t>SUM(utilidad directa) y utilidad/ingreso</t>
  </si>
  <si>
    <t>Matriz frecuencia vs margen</t>
  </si>
  <si>
    <t>Priorizar alto margen y frecuencia</t>
  </si>
  <si>
    <t>Cobros + costos</t>
  </si>
  <si>
    <t>Detalle por código</t>
  </si>
  <si>
    <t>KPI-012</t>
  </si>
  <si>
    <t>Conversión comercial</t>
  </si>
  <si>
    <t>Propuestas aceptadas sobre propuestas emitidas.</t>
  </si>
  <si>
    <t>Aceptadas / Cotizadas</t>
  </si>
  <si>
    <t>Origen, servicio</t>
  </si>
  <si>
    <t>Funnel</t>
  </si>
  <si>
    <t>Meta a definir</t>
  </si>
  <si>
    <t>Cotizaciones</t>
  </si>
  <si>
    <t>KPI-013</t>
  </si>
  <si>
    <t>Casos reales contra volumen meta por familia.</t>
  </si>
  <si>
    <t>Casos abiertos o cobrados / volumen_meta</t>
  </si>
  <si>
    <t>Familia, mes</t>
  </si>
  <si>
    <t>Barras progreso</t>
  </si>
  <si>
    <t>Verde &gt;=100%</t>
  </si>
  <si>
    <t>Servicios de familia</t>
  </si>
  <si>
    <t>KPI-014</t>
  </si>
  <si>
    <t>Variable devengado por negocios elegibles cobrados.</t>
  </si>
  <si>
    <t>Tramos 10%/12%/15% o 5% venta cruzada</t>
  </si>
  <si>
    <t>Mes, cliente, expediente</t>
  </si>
  <si>
    <t>Tarjeta + tabla</t>
  </si>
  <si>
    <t>Validación previa al pago</t>
  </si>
  <si>
    <t>Comisiones</t>
  </si>
  <si>
    <t>Expedientes originados</t>
  </si>
  <si>
    <t>KPI-015</t>
  </si>
  <si>
    <t>Origen de negocio</t>
  </si>
  <si>
    <t>Ingresos y utilidad por canal/originador.</t>
  </si>
  <si>
    <t>SUM(ingresos y utilidad) por origen</t>
  </si>
  <si>
    <t>Origen, tipo origen</t>
  </si>
  <si>
    <t>Donut + tabla</t>
  </si>
  <si>
    <t>Detalle origen</t>
  </si>
  <si>
    <t>KPI-016</t>
  </si>
  <si>
    <t>Días promedio de cobro</t>
  </si>
  <si>
    <t>Tiempo desde finalización o facturación hasta cobro.</t>
  </si>
  <si>
    <t>AVG(fecha_cobro - fecha_factura/finalización)</t>
  </si>
  <si>
    <t>Servicio, cliente</t>
  </si>
  <si>
    <t>Menor es mejor</t>
  </si>
  <si>
    <t>Aging</t>
  </si>
  <si>
    <t>15 | Metas mensuales, realidad y cumplimiento</t>
  </si>
  <si>
    <t>Las metas se definen por familia de servicio. Las columnas azules se llenan con la realidad mientras el sistema entra en operación; luego deberán alimentarse automáticamente.</t>
  </si>
  <si>
    <t>Meta casos</t>
  </si>
  <si>
    <t>Casos reales</t>
  </si>
  <si>
    <t>Cumplimiento casos %</t>
  </si>
  <si>
    <t>Ticket real ($)</t>
  </si>
  <si>
    <t>Variación ticket %</t>
  </si>
  <si>
    <t>Meta ingresos ($)</t>
  </si>
  <si>
    <t>Ingresos reales ($)</t>
  </si>
  <si>
    <t>Cumplimiento ingresos %</t>
  </si>
  <si>
    <t>Margen directo objetivo %</t>
  </si>
  <si>
    <t>Costos directos reales ($)</t>
  </si>
  <si>
    <t>Utilidad directa real ($)</t>
  </si>
  <si>
    <t>Utilidad directa objetivo ($)</t>
  </si>
  <si>
    <t>Cumplimiento utilidad directa %</t>
  </si>
  <si>
    <t>Asignación gastos fijos ($)</t>
  </si>
  <si>
    <t>Comisión Andrea ($)</t>
  </si>
  <si>
    <t>Utilidad operativa real ($)</t>
  </si>
  <si>
    <t>Margen operativo real %</t>
  </si>
  <si>
    <t>Nota: La realidad parcial de julio se cargó con $350 efectivamente cobrados. Los costos directos y la comisión permanecen en cero hasta que se asignen por expediente; por ello la utilidad real es preliminar.</t>
  </si>
  <si>
    <t>04 | Plan de cuentas de ingresos y egresos</t>
  </si>
  <si>
    <t>Cada movimiento financiero debe registrar un código de cuenta. Los ingresos se relacionan con familias de servicios; los egresos se clasifican por naturaleza y centro de costo.</t>
  </si>
  <si>
    <t>Grupo</t>
  </si>
  <si>
    <t>Subgrupo</t>
  </si>
  <si>
    <t>Cuenta / concepto</t>
  </si>
  <si>
    <t>Naturaleza</t>
  </si>
  <si>
    <t>Código categoría relacionado</t>
  </si>
  <si>
    <t>Código familia relacionado</t>
  </si>
  <si>
    <t>Centro de costo</t>
  </si>
  <si>
    <t>Afecta utilidad</t>
  </si>
  <si>
    <t>Regla de uso</t>
  </si>
  <si>
    <t>ING-NOT-001</t>
  </si>
  <si>
    <t>Servicios jurídicos</t>
  </si>
  <si>
    <t>Ingresos por servicios notariales rápidos</t>
  </si>
  <si>
    <t>Operación jurídica</t>
  </si>
  <si>
    <t>Usar para actas, auténticas, declaraciones, certificaciones y autorizaciones.</t>
  </si>
  <si>
    <t>ING-ASE-001</t>
  </si>
  <si>
    <t>Asesorías y gestiones</t>
  </si>
  <si>
    <t>Ingresos por asesorías, contratos y gestiones</t>
  </si>
  <si>
    <t>Usar para asesorías, contratos, escritos y acompañamientos.</t>
  </si>
  <si>
    <t>Ingresos por servicios inmobiliarios y registrales</t>
  </si>
  <si>
    <t>Usar para compraventas, hipotecas, promesas, registros y remediciones.</t>
  </si>
  <si>
    <t>ING-SUC-001</t>
  </si>
  <si>
    <t>Herencias y patrimonio</t>
  </si>
  <si>
    <t>Ingresos por sucesiones y planificación patrimonial</t>
  </si>
  <si>
    <t>Usar para aceptaciones de herencia, cesiones y planificación patrimonial.</t>
  </si>
  <si>
    <t>ING-COR-001</t>
  </si>
  <si>
    <t>Corporativo y administrativo</t>
  </si>
  <si>
    <t>Ingresos por servicios corporativos y administrativos especializados</t>
  </si>
  <si>
    <t>Usar para sociedades, protocolizaciones, OPAMSS, compliance y trámites especializados.</t>
  </si>
  <si>
    <t>ING-MIG-001</t>
  </si>
  <si>
    <t>Migración y relocalización</t>
  </si>
  <si>
    <t>Ingresos por migración, relocalización y servicios internacionales</t>
  </si>
  <si>
    <t>Usar para NIT, residencias, traducciones y relocalización.</t>
  </si>
  <si>
    <t>ING-LIT-001</t>
  </si>
  <si>
    <t>Litigios</t>
  </si>
  <si>
    <t>Ingresos por litigios y controversias</t>
  </si>
  <si>
    <t>FAM-07</t>
  </si>
  <si>
    <t>Usar para procesos judiciales, conciliaciones y arbitrajes.</t>
  </si>
  <si>
    <t>ING-LAB-001</t>
  </si>
  <si>
    <t>Laboral preventivo</t>
  </si>
  <si>
    <t>Ingresos por servicios laborales preventivos</t>
  </si>
  <si>
    <t>FAM-08</t>
  </si>
  <si>
    <t>Usar para contratos, reglamentos, auditorías e inspecciones.</t>
  </si>
  <si>
    <t>ING-IPI-001</t>
  </si>
  <si>
    <t>Propiedad intelectual</t>
  </si>
  <si>
    <t>Ingresos por propiedad intelectual</t>
  </si>
  <si>
    <t>FAM-09</t>
  </si>
  <si>
    <t>Usar para marcas, derechos de autor, patentes y diseños.</t>
  </si>
  <si>
    <t>ING-DTC-001</t>
  </si>
  <si>
    <t>Datos y cumplimiento</t>
  </si>
  <si>
    <t>Ingresos por protección de datos, tecnología y cumplimiento</t>
  </si>
  <si>
    <t>FAM-10</t>
  </si>
  <si>
    <t>Usar para políticas, diagnósticos, comercio digital y compliance.</t>
  </si>
  <si>
    <t>ING-COB-001</t>
  </si>
  <si>
    <t>Cobranza</t>
  </si>
  <si>
    <t>Ingresos por cobranza y recuperación</t>
  </si>
  <si>
    <t>FAM-11</t>
  </si>
  <si>
    <t>Usar para cobranza preventiva, extrajudicial y judicial.</t>
  </si>
  <si>
    <t>ING-OSF-001</t>
  </si>
  <si>
    <t>Organizaciones sin fines de lucro</t>
  </si>
  <si>
    <t>Ingresos por servicios a OSFL</t>
  </si>
  <si>
    <t>FAM-12</t>
  </si>
  <si>
    <t>Usar para constitución, gobierno y cumplimiento de asociaciones y fundaciones.</t>
  </si>
  <si>
    <t>ING-OTR-001</t>
  </si>
  <si>
    <t>Otros ingresos</t>
  </si>
  <si>
    <t>No jurídicos</t>
  </si>
  <si>
    <t>Otros ingresos operativos</t>
  </si>
  <si>
    <t>Otros</t>
  </si>
  <si>
    <t>Usar solo cuando el ingreso no corresponde a un servicio jurídico codificado.</t>
  </si>
  <si>
    <t>EGR-PER-001</t>
  </si>
  <si>
    <t>Personal</t>
  </si>
  <si>
    <t>Salario Guadalupe Sánchez</t>
  </si>
  <si>
    <t>Pago mensual.</t>
  </si>
  <si>
    <t>EGR-PER-002</t>
  </si>
  <si>
    <t>Salario Alfredo Gallegos</t>
  </si>
  <si>
    <t>EGR-PER-003</t>
  </si>
  <si>
    <t>Salario Andrea Escobar</t>
  </si>
  <si>
    <t>Comercial y administración</t>
  </si>
  <si>
    <t>EGR-PER-004</t>
  </si>
  <si>
    <t>Comercial</t>
  </si>
  <si>
    <t>Según utilidad directa cobrada y reglas COM-001 a COM-004.</t>
  </si>
  <si>
    <t>Local</t>
  </si>
  <si>
    <t>Arrendamiento</t>
  </si>
  <si>
    <t>Arrendamiento de oficina</t>
  </si>
  <si>
    <t>Pago mensual de local.</t>
  </si>
  <si>
    <t>EGR-SER-001</t>
  </si>
  <si>
    <t>Servicios básicos</t>
  </si>
  <si>
    <t>Internet y telefonía</t>
  </si>
  <si>
    <t>EGR-SER-002</t>
  </si>
  <si>
    <t>Energía</t>
  </si>
  <si>
    <t>Registrar factura mensual.</t>
  </si>
  <si>
    <t>EGR-SER-003</t>
  </si>
  <si>
    <t>Agua</t>
  </si>
  <si>
    <t>Agua y consumo</t>
  </si>
  <si>
    <t>Registrar factura o compra.</t>
  </si>
  <si>
    <t>EGR-ADM-001</t>
  </si>
  <si>
    <t>Papelería</t>
  </si>
  <si>
    <t>Papelería e insumos</t>
  </si>
  <si>
    <t>Papel, tinta, copias e insumos.</t>
  </si>
  <si>
    <t>EGR-ADM-002</t>
  </si>
  <si>
    <t>Mantenimiento y reparaciones</t>
  </si>
  <si>
    <t>Mantenimiento de oficina y equipo.</t>
  </si>
  <si>
    <t>EGR-ADM-003</t>
  </si>
  <si>
    <t>Capacitación y formación</t>
  </si>
  <si>
    <t>Cursos y formación del equipo.</t>
  </si>
  <si>
    <t>EGR-TEC-001</t>
  </si>
  <si>
    <t>Tecnología</t>
  </si>
  <si>
    <t>Software</t>
  </si>
  <si>
    <t>Software, licencias y sistemas</t>
  </si>
  <si>
    <t>Fijo/Variable</t>
  </si>
  <si>
    <t>Licencias, correo, nube y sistema legal.</t>
  </si>
  <si>
    <t>EGR-MKT-001</t>
  </si>
  <si>
    <t>Marketing</t>
  </si>
  <si>
    <t>Publicidad</t>
  </si>
  <si>
    <t>Publicidad digital</t>
  </si>
  <si>
    <t>Google Ads, Meta Ads y otras campañas.</t>
  </si>
  <si>
    <t>EGR-MKT-002</t>
  </si>
  <si>
    <t>Diseño, contenido y producción</t>
  </si>
  <si>
    <t>Diseño gráfico, fotografía, video y contenido.</t>
  </si>
  <si>
    <t>EGR-COM-001</t>
  </si>
  <si>
    <t>Referidos</t>
  </si>
  <si>
    <t>Comisiones por referidos</t>
  </si>
  <si>
    <t>Comisiones a terceros por negocios referidos.</t>
  </si>
  <si>
    <t>EGR-TRA-001</t>
  </si>
  <si>
    <t>Transporte</t>
  </si>
  <si>
    <t>Diligencias</t>
  </si>
  <si>
    <t>Transporte, combustible y viáticos</t>
  </si>
  <si>
    <t>Traslados vinculados a operación.</t>
  </si>
  <si>
    <t>EGR-TER-001</t>
  </si>
  <si>
    <t>Terceros</t>
  </si>
  <si>
    <t>Profesionales</t>
  </si>
  <si>
    <t>Honorarios de terceros</t>
  </si>
  <si>
    <t>Traductores, gestores, técnicos u otros profesionales.</t>
  </si>
  <si>
    <t>EGR-PUB-001</t>
  </si>
  <si>
    <t>Publicaciones</t>
  </si>
  <si>
    <t>Publicaciones y edictos</t>
  </si>
  <si>
    <t>Directo</t>
  </si>
  <si>
    <t>Costo directo atribuible a expedientes.</t>
  </si>
  <si>
    <t>EGR-REG-001</t>
  </si>
  <si>
    <t>Tasas y registros</t>
  </si>
  <si>
    <t>Tasas, certificaciones y derechos registrales</t>
  </si>
  <si>
    <t>Si es reembolsable, marcarlo por separado para excluir de utilidad.</t>
  </si>
  <si>
    <t>EGR-IMP-001</t>
  </si>
  <si>
    <t>Impuestos</t>
  </si>
  <si>
    <t>Tributos propios</t>
  </si>
  <si>
    <t>Impuestos y tasas propias de la firma</t>
  </si>
  <si>
    <t>No incluye fondos recibidos para terceros.</t>
  </si>
  <si>
    <t>EGR-INV-001</t>
  </si>
  <si>
    <t>Inversión</t>
  </si>
  <si>
    <t>Equipo</t>
  </si>
  <si>
    <t>Equipo y mobiliario</t>
  </si>
  <si>
    <t>Registrar como inversión, no como gasto operativo corriente.</t>
  </si>
  <si>
    <t>EGR-OTR-001</t>
  </si>
  <si>
    <t>Otros egresos</t>
  </si>
  <si>
    <t>Otros egresos operativos</t>
  </si>
  <si>
    <t>Usar solo cuando no exista una cuenta específica.</t>
  </si>
  <si>
    <t>Ingresos por servicios de Derecho Penal</t>
  </si>
  <si>
    <t>FAM-13</t>
  </si>
  <si>
    <t>Usar para defensa penal, representación de víctimas, actuaciones ante FGR, delitos económicos y ejecución penal.</t>
  </si>
  <si>
    <t>16 | Plantilla de ingresos y egresos codificados</t>
  </si>
  <si>
    <t>Esta es la estructura que debe usar el sistema y, temporalmente, el control manual. Cada movimiento debe tener código de cuenta; los ingresos jurídicos también deben tener código de servicio.</t>
  </si>
  <si>
    <t>ID movimiento</t>
  </si>
  <si>
    <t>Cuenta</t>
  </si>
  <si>
    <t>Cliente / proveedor</t>
  </si>
  <si>
    <t>ID expediente</t>
  </si>
  <si>
    <t>Monto bruto ($)</t>
  </si>
  <si>
    <t>IVA / impuestos ($)</t>
  </si>
  <si>
    <t>Reembolsable / tercero ($)</t>
  </si>
  <si>
    <t>Monto neto operativo ($)</t>
  </si>
  <si>
    <t>MOV-2026-0001</t>
  </si>
  <si>
    <t>EXP-2026-001</t>
  </si>
  <si>
    <t>Adelanto de honorarios; saldo pendiente $1,300.</t>
  </si>
  <si>
    <t>MOV-2026-0002</t>
  </si>
  <si>
    <t>La Prensa Gráfica</t>
  </si>
  <si>
    <t>EXP-2026-002</t>
  </si>
  <si>
    <t>Costo reembolsable o atribuible al expediente.</t>
  </si>
  <si>
    <t>MOV-2026-0003</t>
  </si>
  <si>
    <t>Salario fijo mensual.</t>
  </si>
  <si>
    <t>17 | Resumen mensual de metas y resultados</t>
  </si>
  <si>
    <t>Consolida las metas por familia y permite medir ingresos, utilidad, margen y cumplimiento real de julio a diciembre.</t>
  </si>
  <si>
    <t>Meta utilidad directa ($)</t>
  </si>
  <si>
    <t>Gastos fijos ($)</t>
  </si>
  <si>
    <t>Utilidad operativa mínima ($)</t>
  </si>
  <si>
    <t>Margen operativo mínimo %</t>
  </si>
  <si>
    <t>Brecha utilidad mínima ($)</t>
  </si>
  <si>
    <t>Semáforo general</t>
  </si>
  <si>
    <t>TOTAL / PROMEDIO</t>
  </si>
  <si>
    <t>18 | Procedimiento de alta y modificación del catálogo</t>
  </si>
  <si>
    <t>Procedimiento obligatorio para crear categorías, subcategorías y servicios sin duplicar códigos ni afectar el histórico.</t>
  </si>
  <si>
    <t>Paso</t>
  </si>
  <si>
    <t>Etapa</t>
  </si>
  <si>
    <t>Aplica a</t>
  </si>
  <si>
    <t>Responsable solicitante</t>
  </si>
  <si>
    <t>Responsable aprobador</t>
  </si>
  <si>
    <t>Validación obligatoria</t>
  </si>
  <si>
    <t>Resultado esperado</t>
  </si>
  <si>
    <t>Plazo recomendado</t>
  </si>
  <si>
    <t>Registro requerido</t>
  </si>
  <si>
    <t>Regla del código</t>
  </si>
  <si>
    <t>Solicitud</t>
  </si>
  <si>
    <t>Registrar la necesidad de una nueva categoría, subcategoría o servicio.</t>
  </si>
  <si>
    <t>Categoría / Subcategoría / Servicio</t>
  </si>
  <si>
    <t>Socio, abogado o administración</t>
  </si>
  <si>
    <t>Indicar nombre, alcance, motivo y servicios relacionados.</t>
  </si>
  <si>
    <t>Solicitud completa</t>
  </si>
  <si>
    <t>Solicitado</t>
  </si>
  <si>
    <t>1 día</t>
  </si>
  <si>
    <t>Formulario de control</t>
  </si>
  <si>
    <t>No asignar código definitivo todavía.</t>
  </si>
  <si>
    <t>Revisión de duplicidad</t>
  </si>
  <si>
    <t>Buscar por nombre, palabras clave, etiquetas y alcance.</t>
  </si>
  <si>
    <t>Administrador del catálogo</t>
  </si>
  <si>
    <t>Confirmar que no exista una clasificación o servicio equivalente.</t>
  </si>
  <si>
    <t>Resultado de revisión</t>
  </si>
  <si>
    <t>1-2 días</t>
  </si>
  <si>
    <t>Evidencia de búsqueda</t>
  </si>
  <si>
    <t>No crear un código si ya existe una opción válida.</t>
  </si>
  <si>
    <t>Definición de nivel</t>
  </si>
  <si>
    <t>Determinar si corresponde categoría, subcategoría, servicio, modalidad o etiqueta.</t>
  </si>
  <si>
    <t>Socio administrador</t>
  </si>
  <si>
    <t>Aplicar criterios definidos en esta hoja.</t>
  </si>
  <si>
    <t>Nivel correcto</t>
  </si>
  <si>
    <t>Justificación</t>
  </si>
  <si>
    <t>Una tarifa distinta no crea un nuevo servicio.</t>
  </si>
  <si>
    <t>Propuesta de código</t>
  </si>
  <si>
    <t>Preparar código disponible según la estructura oficial.</t>
  </si>
  <si>
    <t>Validar unicidad global y formato.</t>
  </si>
  <si>
    <t>Código propuesto</t>
  </si>
  <si>
    <t>Categoría: 3 letras; Subcategoría: 3 letras; Servicio: AGL-CAT-SUB-000.</t>
  </si>
  <si>
    <t>Aprobación</t>
  </si>
  <si>
    <t>Autorizar o rechazar la creación.</t>
  </si>
  <si>
    <t>Revisar impacto comercial, operativo y de reportes.</t>
  </si>
  <si>
    <t>Decisión formal</t>
  </si>
  <si>
    <t>Aprobado / Rechazado</t>
  </si>
  <si>
    <t>2 días</t>
  </si>
  <si>
    <t>Nombre y fecha del aprobador</t>
  </si>
  <si>
    <t>Solo después de aprobar se genera el código definitivo.</t>
  </si>
  <si>
    <t>Activación</t>
  </si>
  <si>
    <t>Crear el registro maestro y habilitarlo para uso.</t>
  </si>
  <si>
    <t>Administrador del sistema</t>
  </si>
  <si>
    <t>Completar campos obligatorios y estado Activo.</t>
  </si>
  <si>
    <t>Registro activo</t>
  </si>
  <si>
    <t>Fecha de activación</t>
  </si>
  <si>
    <t>El código queda bloqueado para edición.</t>
  </si>
  <si>
    <t>Comunicación</t>
  </si>
  <si>
    <t>Informar al equipo y actualizar manuales o listas.</t>
  </si>
  <si>
    <t>Confirmar que el nuevo registro sea visible en el sistema.</t>
  </si>
  <si>
    <t>Equipo informado</t>
  </si>
  <si>
    <t>Notificación interna</t>
  </si>
  <si>
    <t>Usar el nuevo código solo desde la fecha de activación.</t>
  </si>
  <si>
    <t>Verificar uso correcto durante el primer mes.</t>
  </si>
  <si>
    <t>Revisar movimientos, expedientes y reportes.</t>
  </si>
  <si>
    <t>Validación de implementación</t>
  </si>
  <si>
    <t>30 días</t>
  </si>
  <si>
    <t>Corregir descripciones, no códigos.</t>
  </si>
  <si>
    <t>Inactivación</t>
  </si>
  <si>
    <t>Deshabilitar registros que ya no deban utilizarse.</t>
  </si>
  <si>
    <t>Confirmar que no se eliminará histórico.</t>
  </si>
  <si>
    <t>Registro inactivo</t>
  </si>
  <si>
    <t>Según necesidad</t>
  </si>
  <si>
    <t>Motivo y fecha</t>
  </si>
  <si>
    <t>Nunca borrar ni reutilizar el código.</t>
  </si>
  <si>
    <t>Situación</t>
  </si>
  <si>
    <t>Crear categoría</t>
  </si>
  <si>
    <t>Crear subcategoría</t>
  </si>
  <si>
    <t>Crear servicio</t>
  </si>
  <si>
    <t>Crear modalidad/tarifa</t>
  </si>
  <si>
    <t>Crear etiqueta</t>
  </si>
  <si>
    <t>Nueva práctica jurídica independiente</t>
  </si>
  <si>
    <t>Debe requerir medición separada en ingresos, utilidad y dashboard.</t>
  </si>
  <si>
    <t>División técnica dentro de una práctica</t>
  </si>
  <si>
    <t>Debe agrupar varios servicios relacionados.</t>
  </si>
  <si>
    <t>Prestación concreta que se cotiza</t>
  </si>
  <si>
    <t>Debe tener alcance, tarifa y resultado identificable.</t>
  </si>
  <si>
    <t>Mismo servicio con precio o forma de pago distinta</t>
  </si>
  <si>
    <t>No crear código nuevo de servicio.</t>
  </si>
  <si>
    <t>Palabra alternativa de búsqueda</t>
  </si>
  <si>
    <t>Usar etiquetas para búsquedas transversales.</t>
  </si>
  <si>
    <t>Servicio complementario</t>
  </si>
  <si>
    <t>Relacionarlo como servicio asociado; no duplicarlo.</t>
  </si>
  <si>
    <t>Regla obligatoria</t>
  </si>
  <si>
    <t>Se puede modificar</t>
  </si>
  <si>
    <t>No se puede modificar</t>
  </si>
  <si>
    <t>Acción si está mal clasificado</t>
  </si>
  <si>
    <t>GOB-001</t>
  </si>
  <si>
    <t>Los códigos son permanentes y no reutilizables.</t>
  </si>
  <si>
    <t>Nombre, descripción, etiquetas, tarifa, responsable y estado.</t>
  </si>
  <si>
    <t>Código, secuencia e histórico.</t>
  </si>
  <si>
    <t>Inactivar y crear un nuevo código.</t>
  </si>
  <si>
    <t>GOB-002</t>
  </si>
  <si>
    <t>No se elimina un registro con movimientos o expedientes.</t>
  </si>
  <si>
    <t>Estado y descripción.</t>
  </si>
  <si>
    <t>Registro histórico.</t>
  </si>
  <si>
    <t>Marcar Inactivo.</t>
  </si>
  <si>
    <t>GOB-003</t>
  </si>
  <si>
    <t>Toda alta requiere revisión de duplicidad.</t>
  </si>
  <si>
    <t>Campos de la solicitud.</t>
  </si>
  <si>
    <t>Omisión del control.</t>
  </si>
  <si>
    <t>Rechazar y devolver la solicitud.</t>
  </si>
  <si>
    <t>GOB-004</t>
  </si>
  <si>
    <t>El sistema genera la secuencia del servicio.</t>
  </si>
  <si>
    <t>Datos descriptivos.</t>
  </si>
  <si>
    <t>Número secuencial manual.</t>
  </si>
  <si>
    <t>Solicitar código al sistema.</t>
  </si>
  <si>
    <t>Desarrollador / sistema</t>
  </si>
  <si>
    <t>GOB-005</t>
  </si>
  <si>
    <t>Subcategorías deben ser únicas globalmente cuando sea posible.</t>
  </si>
  <si>
    <t>Nombre descriptivo antes de activar.</t>
  </si>
  <si>
    <t>Código una vez activo.</t>
  </si>
  <si>
    <t>Elegir otro código disponible.</t>
  </si>
  <si>
    <t>Abogado / administración</t>
  </si>
  <si>
    <t>Proponer categoría</t>
  </si>
  <si>
    <t>Cualquier propuesta debe justificarse.</t>
  </si>
  <si>
    <t>Aprobar categoría</t>
  </si>
  <si>
    <t>Aprobación exclusiva del socio administrador.</t>
  </si>
  <si>
    <t>Proponer subcategoría</t>
  </si>
  <si>
    <t>Debe pertenecer a una categoría activa.</t>
  </si>
  <si>
    <t>Aprobar subcategoría</t>
  </si>
  <si>
    <t>Proponer servicio</t>
  </si>
  <si>
    <t>Debe incluir tarifa y alcance preliminar.</t>
  </si>
  <si>
    <t>Activar registro</t>
  </si>
  <si>
    <t>Solo con aprobación registrada.</t>
  </si>
  <si>
    <t>Inactivar registro</t>
  </si>
  <si>
    <t>Nunca eliminar histórico.</t>
  </si>
  <si>
    <t>Modificar código</t>
  </si>
  <si>
    <t>Los códigos activos son inmutables.</t>
  </si>
  <si>
    <t>19 | Control de altas y cambios del catálogo</t>
  </si>
  <si>
    <t>Formato de trazabilidad. Temporalmente puede llenarse en Excel; posteriormente debe convertirse en un flujo de aprobación dentro del sistema.</t>
  </si>
  <si>
    <t>ID solicitud</t>
  </si>
  <si>
    <t>Fecha solicitud</t>
  </si>
  <si>
    <t>Tipo de solicitud</t>
  </si>
  <si>
    <t>Tipo de registro</t>
  </si>
  <si>
    <t>Nombre propuesto</t>
  </si>
  <si>
    <t>Categoría padre</t>
  </si>
  <si>
    <t>Subcategoría padre</t>
  </si>
  <si>
    <t>Código definitivo</t>
  </si>
  <si>
    <t>Descripción / alcance</t>
  </si>
  <si>
    <t>Motivo de la solicitud</t>
  </si>
  <si>
    <t>Solicitante</t>
  </si>
  <si>
    <t>Resultado revisión duplicidad</t>
  </si>
  <si>
    <t>Aprobador</t>
  </si>
  <si>
    <t>Fecha aprobación</t>
  </si>
  <si>
    <t>Desarrollo y uso de suelo</t>
  </si>
  <si>
    <t>DSU</t>
  </si>
  <si>
    <t>Servicios legales para parcelaciones, uso de suelo y desarrollo inmobiliario.</t>
  </si>
  <si>
    <t>Nueva línea de servicios inmobiliarios.</t>
  </si>
  <si>
    <t>desarrollo,uso de suelo,parcelación</t>
  </si>
  <si>
    <t>Sin duplicidad identificada</t>
  </si>
  <si>
    <t>Ejemplo de solicitud.</t>
  </si>
  <si>
    <t>20 | Guía de usuario del archivo maestro AG Legal</t>
  </si>
  <si>
    <t>Esta hoja explica qué contiene el archivo, qué puede editarse, cómo registrar operaciones y cómo mantener correctamente el catálogo.</t>
  </si>
  <si>
    <t>Color / formato</t>
  </si>
  <si>
    <t>Significado</t>
  </si>
  <si>
    <t>¿Se puede modificar?</t>
  </si>
  <si>
    <t>Qué hacer</t>
  </si>
  <si>
    <t>Riesgo si se altera</t>
  </si>
  <si>
    <t>Texto azul</t>
  </si>
  <si>
    <t>Dato de entrada manual o supuesto editable</t>
  </si>
  <si>
    <t>Actualizar únicamente con información real, aprobada o presupuestada.</t>
  </si>
  <si>
    <t>Tarifa, casos reales, ingresos reales, costos directos</t>
  </si>
  <si>
    <t>Administración / usuario autorizado</t>
  </si>
  <si>
    <t>Puede distorsionar metas y resultados si se ingresa mal.</t>
  </si>
  <si>
    <t>Sí: en general, lo azul es lo que se puede modificar.</t>
  </si>
  <si>
    <t>Texto negro</t>
  </si>
  <si>
    <t>Fórmula, resultado automático o dato controlado</t>
  </si>
  <si>
    <t>No, salvo indicación expresa</t>
  </si>
  <si>
    <t>No sobrescribir; si el resultado parece incorrecto, revisar los datos azules de origen.</t>
  </si>
  <si>
    <t>Cumplimiento, utilidad, margen, código definitivo</t>
  </si>
  <si>
    <t>Sistema / desarrollador</t>
  </si>
  <si>
    <t>Se rompen cálculos o trazabilidad.</t>
  </si>
  <si>
    <t>No editar fórmulas.</t>
  </si>
  <si>
    <t>Texto verde</t>
  </si>
  <si>
    <t>Código o dato maestro de referencia</t>
  </si>
  <si>
    <t>No directamente</t>
  </si>
  <si>
    <t>Usar para búsqueda y selección. Los cambios se tramitan en Control de Altas y Cambios.</t>
  </si>
  <si>
    <t>Código de servicio, categoría, subcategoría</t>
  </si>
  <si>
    <t>Duplicidad o pérdida de histórico.</t>
  </si>
  <si>
    <t>Nunca editar un código activo.</t>
  </si>
  <si>
    <t>Encabezado azul oscuro</t>
  </si>
  <si>
    <t>Título o encabezado de sección</t>
  </si>
  <si>
    <t>Solo sirve para organizar la información.</t>
  </si>
  <si>
    <t>Nombre de columnas</t>
  </si>
  <si>
    <t>N/A</t>
  </si>
  <si>
    <t>Pérdida de claridad visual.</t>
  </si>
  <si>
    <t>No editar.</t>
  </si>
  <si>
    <t>Semáforo verde/amarillo/rojo</t>
  </si>
  <si>
    <t>Resultado de cumplimiento automático</t>
  </si>
  <si>
    <t>Revisar metas y datos reales que originan el resultado.</t>
  </si>
  <si>
    <t>Interpretación incorrecta si se pinta manualmente.</t>
  </si>
  <si>
    <t>No cambiar manualmente.</t>
  </si>
  <si>
    <t>Qué necesito hacer</t>
  </si>
  <si>
    <t>Hoja principal</t>
  </si>
  <si>
    <t>Campo clave</t>
  </si>
  <si>
    <t>Quién lo hace</t>
  </si>
  <si>
    <t>Qué no hacer</t>
  </si>
  <si>
    <t>Consultar una categoría o servicio existente</t>
  </si>
  <si>
    <t>01, 02 y 03</t>
  </si>
  <si>
    <t>Código, nombre o etiqueta</t>
  </si>
  <si>
    <t>Clasificación correcta del servicio</t>
  </si>
  <si>
    <t>Todo usuario</t>
  </si>
  <si>
    <t>No crear códigos fuera del catálogo</t>
  </si>
  <si>
    <t>Cada operación</t>
  </si>
  <si>
    <t>Crear o abrir un expediente en el sistema</t>
  </si>
  <si>
    <t>03 y 13</t>
  </si>
  <si>
    <t>Código servicio, cliente, origen y honorarios</t>
  </si>
  <si>
    <t>Expediente clasificado</t>
  </si>
  <si>
    <t>No escoger una categoría manual distinta al código</t>
  </si>
  <si>
    <t>Cada cliente o asunto</t>
  </si>
  <si>
    <t>Registrar un ingreso o egreso</t>
  </si>
  <si>
    <t>04 y 16</t>
  </si>
  <si>
    <t>Código cuenta y, cuando aplique, código servicio</t>
  </si>
  <si>
    <t>Movimiento financiero codificado</t>
  </si>
  <si>
    <t>No registrar movimientos sin cuenta</t>
  </si>
  <si>
    <t>Cada movimiento</t>
  </si>
  <si>
    <t>Actualizar la realidad mensual mientras se implementa el sistema</t>
  </si>
  <si>
    <t>15</t>
  </si>
  <si>
    <t>Casos reales, ingresos reales, costos directos y comisión</t>
  </si>
  <si>
    <t>Cumplimiento y utilidad actualizados</t>
  </si>
  <si>
    <t>No escribir sobre fórmulas negras</t>
  </si>
  <si>
    <t>Semanal / mensual</t>
  </si>
  <si>
    <t>Revisar metas y resultados</t>
  </si>
  <si>
    <t>17 y 10</t>
  </si>
  <si>
    <t>Meta, real, cumplimiento, utilidad y semáforo</t>
  </si>
  <si>
    <t>Decisión comercial y financiera</t>
  </si>
  <si>
    <t>Socios / administración</t>
  </si>
  <si>
    <t>No confundir cartera con efectivo cobrado</t>
  </si>
  <si>
    <t>Solicitar una categoría, subcategoría o servicio nuevo</t>
  </si>
  <si>
    <t>18 y 19</t>
  </si>
  <si>
    <t>Solicitud, motivo, revisión de duplicidad</t>
  </si>
  <si>
    <t>Alta controlada y trazable</t>
  </si>
  <si>
    <t>Solicitante / administrador</t>
  </si>
  <si>
    <t>No inventar el código definitivo</t>
  </si>
  <si>
    <t>Cuando sea necesario</t>
  </si>
  <si>
    <t>Calcular comisión de Andrea</t>
  </si>
  <si>
    <t>12</t>
  </si>
  <si>
    <t>Origen, tipo de negocio, utilidad directa cobrada</t>
  </si>
  <si>
    <t>Comisión devengada correcta</t>
  </si>
  <si>
    <t>Administración / socio</t>
  </si>
  <si>
    <t>No calcular sobre IVA, reembolsos o cartera no cobrada</t>
  </si>
  <si>
    <t>Para qué sirve</t>
  </si>
  <si>
    <t>Quién la usa</t>
  </si>
  <si>
    <t>¿Editable?</t>
  </si>
  <si>
    <t>Campos editables principales</t>
  </si>
  <si>
    <t>Alimenta</t>
  </si>
  <si>
    <t>00_Inicio</t>
  </si>
  <si>
    <t>Índice y reglas generales</t>
  </si>
  <si>
    <t>Ninguno</t>
  </si>
  <si>
    <t>Navegación</t>
  </si>
  <si>
    <t>Leer primero.</t>
  </si>
  <si>
    <t>01_Categorias</t>
  </si>
  <si>
    <t>Catálogo de categorías jurídicas</t>
  </si>
  <si>
    <t>Controlado</t>
  </si>
  <si>
    <t>Nombre/estado solo mediante procedimiento</t>
  </si>
  <si>
    <t>Servicios y dashboard</t>
  </si>
  <si>
    <t>Códigos permanentes.</t>
  </si>
  <si>
    <t>02_Subcategorias</t>
  </si>
  <si>
    <t>Segundo nivel de clasificación</t>
  </si>
  <si>
    <t>No debe repetir el código de categoría.</t>
  </si>
  <si>
    <t>Listado oficial de servicios y códigos</t>
  </si>
  <si>
    <t>Parcial</t>
  </si>
  <si>
    <t>Tarifa, costo, horas y algunos datos descriptivos en azul</t>
  </si>
  <si>
    <t>Expedientes y rentabilidad</t>
  </si>
  <si>
    <t>No editar códigos verdes.</t>
  </si>
  <si>
    <t>Códigos oficiales para ingresos y egresos</t>
  </si>
  <si>
    <t>Altas mediante procedimiento</t>
  </si>
  <si>
    <t>P&amp;L, flujo y dashboard</t>
  </si>
  <si>
    <t>Todo movimiento requiere cuenta.</t>
  </si>
  <si>
    <t>05_Cartera_Proyectos</t>
  </si>
  <si>
    <t>Trabajo contratado pendiente de cobro</t>
  </si>
  <si>
    <t>Estado, probabilidad, mes esperado y valores</t>
  </si>
  <si>
    <t>No equivale a efectivo.</t>
  </si>
  <si>
    <t>06_Personal</t>
  </si>
  <si>
    <t>Salarios y honorarios fijos</t>
  </si>
  <si>
    <t>Montos y períodos azules</t>
  </si>
  <si>
    <t>Gastos fijos</t>
  </si>
  <si>
    <t>Andrea: fijo + variable separado.</t>
  </si>
  <si>
    <t>07_Gastos_Fijos</t>
  </si>
  <si>
    <t>Supuestos de costos mensuales</t>
  </si>
  <si>
    <t>Montos y porcentajes azules</t>
  </si>
  <si>
    <t>Revisar cuando cambien costos.</t>
  </si>
  <si>
    <t>08_Presupuesto_Jul_Dic</t>
  </si>
  <si>
    <t>Proyección por familias de servicios</t>
  </si>
  <si>
    <t>Socios / comercial</t>
  </si>
  <si>
    <t>Volúmenes y tickets azules</t>
  </si>
  <si>
    <t>Metas</t>
  </si>
  <si>
    <t>No se proyecta por persona.</t>
  </si>
  <si>
    <t>10_Dashboard</t>
  </si>
  <si>
    <t>Vista ejecutiva</t>
  </si>
  <si>
    <t>Socios</t>
  </si>
  <si>
    <t>Decisiones</t>
  </si>
  <si>
    <t>Debe alimentarse del sistema.</t>
  </si>
  <si>
    <t>Reglas de comisión de Andrea</t>
  </si>
  <si>
    <t>Porcentajes solo con aprobación</t>
  </si>
  <si>
    <t>Solo utilidad directa cobrada.</t>
  </si>
  <si>
    <t>Requerimientos para el desarrollador</t>
  </si>
  <si>
    <t>Construcción del sistema</t>
  </si>
  <si>
    <t>Documento funcional.</t>
  </si>
  <si>
    <t>Meta vs. realidad por familia y mes</t>
  </si>
  <si>
    <t>Columnas azules de realidad</t>
  </si>
  <si>
    <t>Dashboard y resumen</t>
  </si>
  <si>
    <t>Uso temporal hasta integración.</t>
  </si>
  <si>
    <t>Modelo de ingreso/egreso codificado</t>
  </si>
  <si>
    <t>Movimientos nuevos</t>
  </si>
  <si>
    <t>P&amp;L y rentabilidad</t>
  </si>
  <si>
    <t>Código cuenta siempre; código servicio cuando aplique.</t>
  </si>
  <si>
    <t>Consolidado de metas, utilidad y cumplimiento</t>
  </si>
  <si>
    <t>Dashboard</t>
  </si>
  <si>
    <t>Resultados automáticos.</t>
  </si>
  <si>
    <t>Reglas para crear o modificar el catálogo</t>
  </si>
  <si>
    <t>Gobierno de datos</t>
  </si>
  <si>
    <t>Obligatorio.</t>
  </si>
  <si>
    <t>Bitácora de solicitudes y aprobaciones</t>
  </si>
  <si>
    <t>Campos azules de solicitud</t>
  </si>
  <si>
    <t>Catálogo e histórico</t>
  </si>
  <si>
    <t>El código definitivo lo asigna el sistema.</t>
  </si>
  <si>
    <t>Caso práctico</t>
  </si>
  <si>
    <t>Qué se registra</t>
  </si>
  <si>
    <t>Dónde</t>
  </si>
  <si>
    <t>Error frecuente</t>
  </si>
  <si>
    <t>Forma correcta</t>
  </si>
  <si>
    <t>Cobro de una defensa penal</t>
  </si>
  <si>
    <t>Honorario neto efectivamente cobrado</t>
  </si>
  <si>
    <t>Ingreso penal y rentabilidad del expediente</t>
  </si>
  <si>
    <t>Usar ING-LIT-001</t>
  </si>
  <si>
    <t>Usar la categoría PEN independiente.</t>
  </si>
  <si>
    <t>Pago de publicación de una herencia</t>
  </si>
  <si>
    <t>Costo directo o reembolsable del expediente</t>
  </si>
  <si>
    <t>Costo asociado al servicio</t>
  </si>
  <si>
    <t>Registrar solo como gasto general</t>
  </si>
  <si>
    <t>Relacionarlo al expediente y servicio.</t>
  </si>
  <si>
    <t>Pago de alquiler</t>
  </si>
  <si>
    <t>No aplica</t>
  </si>
  <si>
    <t>Gasto fijo mensual</t>
  </si>
  <si>
    <t>Gasto administrativo correcto</t>
  </si>
  <si>
    <t>Inventar un código de servicio</t>
  </si>
  <si>
    <t>Dejar código servicio vacío.</t>
  </si>
  <si>
    <t>Nuevo servicio penal no existente</t>
  </si>
  <si>
    <t>No aplica aún</t>
  </si>
  <si>
    <t>No inventar</t>
  </si>
  <si>
    <t>Solicitud de alta</t>
  </si>
  <si>
    <t>Código aprobado y trazable</t>
  </si>
  <si>
    <t>Crear AGL-PEN-XXX manualmente</t>
  </si>
  <si>
    <t>Seguir el procedimiento de la hoja 18.</t>
  </si>
  <si>
    <t>REGLA RÁPIDA: Azul = entrada editable; negro = cálculo o control; verde = código maestro. Sin embargo, un campo azul solo debe modificarse por el usuario responsable y con información válida.</t>
  </si>
  <si>
    <t>DIFERENCIA CLAVE: ID interno = identificador técnico generado por el sistema y normalmente oculto. Código visible = identificador que utiliza el equipo, como PEN, DEF o AGL-PEN-DEF-002.</t>
  </si>
  <si>
    <t>Elemento</t>
  </si>
  <si>
    <t>Lo genera</t>
  </si>
  <si>
    <t>Lo utiliza</t>
  </si>
  <si>
    <t>¿Se modifica?</t>
  </si>
  <si>
    <t>Dónde aparece</t>
  </si>
  <si>
    <t>Propósito</t>
  </si>
  <si>
    <t>ID interno</t>
  </si>
  <si>
    <t>service_id = 104</t>
  </si>
  <si>
    <t>Base de datos</t>
  </si>
  <si>
    <t>Relacionar tablas</t>
  </si>
  <si>
    <t>No lo ingresa el usuario.</t>
  </si>
  <si>
    <t>Administrador aprobado</t>
  </si>
  <si>
    <t>Equipo y sistema</t>
  </si>
  <si>
    <t>No después de activar</t>
  </si>
  <si>
    <t>Catálogo y filtros</t>
  </si>
  <si>
    <t>Identificar práctica</t>
  </si>
  <si>
    <t>Único y permanente.</t>
  </si>
  <si>
    <t>Identificar división técnica</t>
  </si>
  <si>
    <t>Sistema después de aprobación</t>
  </si>
  <si>
    <t>Expedientes y movimientos</t>
  </si>
  <si>
    <t>Identificar prestación</t>
  </si>
  <si>
    <t>Nunca reutilizar.</t>
  </si>
  <si>
    <t>00 | PARA EL DESARROLLADOR — Especificación única de implementación</t>
  </si>
  <si>
    <t>Esta es la hoja principal que debe usar el desarrollador. Resume la arquitectura, campos, relaciones, códigos, cálculos, dashboard y reglas de gobierno.</t>
  </si>
  <si>
    <t>Qué es</t>
  </si>
  <si>
    <t>Quién lo genera</t>
  </si>
  <si>
    <t>Quién lo ve</t>
  </si>
  <si>
    <t>Uso técnico</t>
  </si>
  <si>
    <t>Uso operativo</t>
  </si>
  <si>
    <t>Tabla sugerida</t>
  </si>
  <si>
    <t>Campo sugerido</t>
  </si>
  <si>
    <t>Nota</t>
  </si>
  <si>
    <t>ID interno del sistema</t>
  </si>
  <si>
    <t>Identificador técnico automático de cada registro.</t>
  </si>
  <si>
    <t>Normalmente no el usuario</t>
  </si>
  <si>
    <t>104</t>
  </si>
  <si>
    <t>Relacionar tablas y preservar histórico</t>
  </si>
  <si>
    <t>Ninguno directo</t>
  </si>
  <si>
    <t>Nunca reutilizar ni modificar</t>
  </si>
  <si>
    <t>service_id</t>
  </si>
  <si>
    <t>Clave primaria</t>
  </si>
  <si>
    <t>Puede ser entero autoincremental o UUID.</t>
  </si>
  <si>
    <t>Código visible de categoría</t>
  </si>
  <si>
    <t>Código corto que identifica una práctica jurídica.</t>
  </si>
  <si>
    <t>Filtros y reportes</t>
  </si>
  <si>
    <t>Búsqueda y clasificación</t>
  </si>
  <si>
    <t>Único y permanente</t>
  </si>
  <si>
    <t>category_code</t>
  </si>
  <si>
    <t>category_id</t>
  </si>
  <si>
    <t>Ejemplo: PEN = Derecho Penal.</t>
  </si>
  <si>
    <t>Código visible de subcategoría</t>
  </si>
  <si>
    <t>Código corto del segundo nivel de clasificación.</t>
  </si>
  <si>
    <t>Agrupar servicios</t>
  </si>
  <si>
    <t>Tres letras, distinto de su categoría</t>
  </si>
  <si>
    <t>subcategory_code</t>
  </si>
  <si>
    <t>Ejemplo: DEF = Defensa técnica penal.</t>
  </si>
  <si>
    <t>Código visible de servicio</t>
  </si>
  <si>
    <t>Código completo del servicio vendido.</t>
  </si>
  <si>
    <t>Expedientes, cobros y rentabilidad</t>
  </si>
  <si>
    <t>Selección del servicio</t>
  </si>
  <si>
    <t>service_code</t>
  </si>
  <si>
    <t>subcategory_id</t>
  </si>
  <si>
    <t>El usuario selecciona código + nombre.</t>
  </si>
  <si>
    <t>Código de cuenta financiera</t>
  </si>
  <si>
    <t>Código que clasifica un ingreso o egreso.</t>
  </si>
  <si>
    <t>Registro financiero</t>
  </si>
  <si>
    <t>Prefijo ING o EGR</t>
  </si>
  <si>
    <t>account_code</t>
  </si>
  <si>
    <t>account_id</t>
  </si>
  <si>
    <t>Todo movimiento debe tener uno.</t>
  </si>
  <si>
    <t>Orden</t>
  </si>
  <si>
    <t>Tabla / módulo</t>
  </si>
  <si>
    <t>Finalidad</t>
  </si>
  <si>
    <t>Clave primaria interna</t>
  </si>
  <si>
    <t>Código visible</t>
  </si>
  <si>
    <t>Campo padre</t>
  </si>
  <si>
    <t>Campos mínimos</t>
  </si>
  <si>
    <t>Usuario ingresa</t>
  </si>
  <si>
    <t>Sistema completa</t>
  </si>
  <si>
    <t>Validaciones</t>
  </si>
  <si>
    <t>Histórico</t>
  </si>
  <si>
    <t>Líneas jurídicas principales</t>
  </si>
  <si>
    <t>—</t>
  </si>
  <si>
    <t>nombre, descripción, estado</t>
  </si>
  <si>
    <t>Nombre y descripción</t>
  </si>
  <si>
    <t>Código único</t>
  </si>
  <si>
    <t>PEN — Derecho Penal</t>
  </si>
  <si>
    <t>Divisiones técnicas</t>
  </si>
  <si>
    <t>nombre, estado</t>
  </si>
  <si>
    <t>Categoría y nombre</t>
  </si>
  <si>
    <t>ID interno y código compuesto</t>
  </si>
  <si>
    <t>Código único global; diferente de categoría</t>
  </si>
  <si>
    <t>Ingresos por subcategoría</t>
  </si>
  <si>
    <t>DEF — Defensa técnica penal</t>
  </si>
  <si>
    <t>Prestaciones comercializables</t>
  </si>
  <si>
    <t>nombre, etiquetas, tarifa, costo, estado</t>
  </si>
  <si>
    <t>Servicio y supuestos</t>
  </si>
  <si>
    <t>ID y código secuencial</t>
  </si>
  <si>
    <t>No duplicar prestación equivalente</t>
  </si>
  <si>
    <t>Frecuencia y rentabilidad</t>
  </si>
  <si>
    <t>clientes</t>
  </si>
  <si>
    <t>Personas o empresas</t>
  </si>
  <si>
    <t>client_id</t>
  </si>
  <si>
    <t>client_code opcional</t>
  </si>
  <si>
    <t>nombre, identificación, contacto, estado</t>
  </si>
  <si>
    <t>Datos del cliente</t>
  </si>
  <si>
    <t>Documento único cuando aplique</t>
  </si>
  <si>
    <t>CLI-0001</t>
  </si>
  <si>
    <t>Asuntos o casos</t>
  </si>
  <si>
    <t>case_id</t>
  </si>
  <si>
    <t>case_code</t>
  </si>
  <si>
    <t>client_id + service_id</t>
  </si>
  <si>
    <t>origen, honorarios, estado, fechas</t>
  </si>
  <si>
    <t>Cliente, servicio, valores</t>
  </si>
  <si>
    <t>Categoría, subcategoría y códigos relacionados</t>
  </si>
  <si>
    <t>Servicio activo</t>
  </si>
  <si>
    <t>Pipeline y conversión</t>
  </si>
  <si>
    <t>Clasificación financiera</t>
  </si>
  <si>
    <t>tipo, grupo, cuenta, estado</t>
  </si>
  <si>
    <t>Alta aprobada</t>
  </si>
  <si>
    <t>ING para ingreso; EGR para egreso</t>
  </si>
  <si>
    <t>movement_id</t>
  </si>
  <si>
    <t>movement_code</t>
  </si>
  <si>
    <t>account_id; case_id opcional; service_id opcional</t>
  </si>
  <si>
    <t>fecha, tipo, monto, estado</t>
  </si>
  <si>
    <t>Datos de la transacción</t>
  </si>
  <si>
    <t>Cuenta, categoría y utilidad</t>
  </si>
  <si>
    <t>Código cuenta obligatorio</t>
  </si>
  <si>
    <t>Ingresos, costos y utilidad</t>
  </si>
  <si>
    <t>Metas por familia y mes</t>
  </si>
  <si>
    <t>forecast_id</t>
  </si>
  <si>
    <t>familia + mes</t>
  </si>
  <si>
    <t>volumen, ticket, margen</t>
  </si>
  <si>
    <t>Metas autorizadas</t>
  </si>
  <si>
    <t>Ingreso proyectado</t>
  </si>
  <si>
    <t>Valores &gt;= 0</t>
  </si>
  <si>
    <t>Meta vs real</t>
  </si>
  <si>
    <t>3 casos × $300</t>
  </si>
  <si>
    <t>Variable de Andrea</t>
  </si>
  <si>
    <t>commission_id</t>
  </si>
  <si>
    <t>movement_id + case_id</t>
  </si>
  <si>
    <t>origen, utilidad, porcentaje</t>
  </si>
  <si>
    <t>Validación de elegibilidad</t>
  </si>
  <si>
    <t>Comisión por tramos</t>
  </si>
  <si>
    <t>Solo sobre utilidad cobrada</t>
  </si>
  <si>
    <t>10%-12%-15% / 5%</t>
  </si>
  <si>
    <t>Pantalla / flujo</t>
  </si>
  <si>
    <t>Qué selecciona el usuario</t>
  </si>
  <si>
    <t>Qué NO llena</t>
  </si>
  <si>
    <t>Qué completa el sistema</t>
  </si>
  <si>
    <t>Validación</t>
  </si>
  <si>
    <t>Fuente maestra</t>
  </si>
  <si>
    <t>Nuevo expediente</t>
  </si>
  <si>
    <t>Cliente + servicio por código o nombre + honorarios + origen</t>
  </si>
  <si>
    <t>IDs internos, categoría y subcategoría</t>
  </si>
  <si>
    <t>IDs, categoría, subcategoría, tarifa de referencia y cuenta de ingreso sugerida</t>
  </si>
  <si>
    <t>Expediente correctamente clasificado</t>
  </si>
  <si>
    <t>Registrar cobro</t>
  </si>
  <si>
    <t>Expediente + fecha + monto + impuestos/reembolsos</t>
  </si>
  <si>
    <t>Categoría, subcategoría y utilidad</t>
  </si>
  <si>
    <t>Código servicio, código cuenta, neto operativo, saldo y utilidad directa</t>
  </si>
  <si>
    <t>Ingreso real y dashboard actualizado</t>
  </si>
  <si>
    <t>No exceder saldo salvo ajuste</t>
  </si>
  <si>
    <t>Registrar egreso</t>
  </si>
  <si>
    <t>Código cuenta + proveedor + fecha + monto + expediente si aplica</t>
  </si>
  <si>
    <t>Categoría jurídica si no aplica</t>
  </si>
  <si>
    <t>Centro de costo y relación con servicio cuando existe</t>
  </si>
  <si>
    <t>Costo clasificado</t>
  </si>
  <si>
    <t>EGR obligatorio</t>
  </si>
  <si>
    <t>Alta de catálogo</t>
  </si>
  <si>
    <t>Nombre, alcance, motivo y nivel propuesto</t>
  </si>
  <si>
    <t>ID interno ni código definitivo</t>
  </si>
  <si>
    <t>Revisión de duplicidad, secuencia y código final</t>
  </si>
  <si>
    <t>Registro aprobado y trazable</t>
  </si>
  <si>
    <t>Aprobación previa</t>
  </si>
  <si>
    <t>KPI</t>
  </si>
  <si>
    <t>Incluye proyección</t>
  </si>
  <si>
    <t>Incluye realidad</t>
  </si>
  <si>
    <t>Incluye utilidad</t>
  </si>
  <si>
    <t>Incluye comisión</t>
  </si>
  <si>
    <t>Visual</t>
  </si>
  <si>
    <t>SUM(monto_neto_operativo de ingresos cobrados)</t>
  </si>
  <si>
    <t>Meta mensual</t>
  </si>
  <si>
    <t>Movimientos y expedientes</t>
  </si>
  <si>
    <t>Excluir IVA y fondos de terceros.</t>
  </si>
  <si>
    <t>SUM(volumen_meta*ticket_objetivo)+cartera ponderada</t>
  </si>
  <si>
    <t>forecast + expedientes</t>
  </si>
  <si>
    <t>Meta aprobada</t>
  </si>
  <si>
    <t>Columnas</t>
  </si>
  <si>
    <t>Ingresos reales / meta</t>
  </si>
  <si>
    <t>movimientos + forecast</t>
  </si>
  <si>
    <t>Servicios del período</t>
  </si>
  <si>
    <t>Barra progreso</t>
  </si>
  <si>
    <t>movimientos + gastos + comisiones</t>
  </si>
  <si>
    <t>Mínimo 20% margen</t>
  </si>
  <si>
    <t>Servicios frecuentes y rentables</t>
  </si>
  <si>
    <t>COUNT(casos), SUM(utilidad), margen</t>
  </si>
  <si>
    <t>expedientes + movimientos</t>
  </si>
  <si>
    <t>Mes, categoría, servicio</t>
  </si>
  <si>
    <t>Ranking</t>
  </si>
  <si>
    <t>Código de servicio</t>
  </si>
  <si>
    <t>Matriz / barras</t>
  </si>
  <si>
    <t>Reglas 10%-12%-15% o 5%</t>
  </si>
  <si>
    <t>Solo cobrado y elegible</t>
  </si>
  <si>
    <t>Detalle por negocio</t>
  </si>
  <si>
    <t>Hoja de este archivo</t>
  </si>
  <si>
    <t>Uso para el desarrollador</t>
  </si>
  <si>
    <t>Importar como maestro</t>
  </si>
  <si>
    <t>Usar como regla</t>
  </si>
  <si>
    <t>Usar como ejemplo</t>
  </si>
  <si>
    <t>Modificar</t>
  </si>
  <si>
    <t>Maestro de categorías</t>
  </si>
  <si>
    <t>Maestro de subcategorías</t>
  </si>
  <si>
    <t>Maestro de servicios</t>
  </si>
  <si>
    <t>Solo campos autorizados</t>
  </si>
  <si>
    <t>Maestro de cuentas de ingresos y egresos</t>
  </si>
  <si>
    <t>Lógica de compensación variable</t>
  </si>
  <si>
    <t>Detalle ampliado de campos y validaciones</t>
  </si>
  <si>
    <t>Anexo técnico.</t>
  </si>
  <si>
    <t>Detalle ampliado de indicadores</t>
  </si>
  <si>
    <t>Anexo de dashboard.</t>
  </si>
  <si>
    <t>Estructura temporal meta vs real</t>
  </si>
  <si>
    <t>Sí, campos azules</t>
  </si>
  <si>
    <t>Después se alimentará del sistema.</t>
  </si>
  <si>
    <t>Ejemplo de estructura transaccional</t>
  </si>
  <si>
    <t>Sí para pruebas</t>
  </si>
  <si>
    <t>Gobierno y aprobación de cambios</t>
  </si>
  <si>
    <t>Ejemplo de workflow y auditoría</t>
  </si>
  <si>
    <t>INSTRUCCIÓN CENTRAL: El desarrollador debe comenzar por esta hoja. Los ID internos los genera el sistema; el equipo de AG Legal trabaja con códigos visibles y nombres.</t>
  </si>
  <si>
    <t>12 | Reglas de compensación variable de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</si>
</sst>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[Red]\(\$#,##0.00\);\-"/>
    <numFmt numFmtId="165" formatCode="dd\-mmm\-yyyy"/>
    <numFmt numFmtId="166" formatCode="0.0%;[Red]\(0.0%\);\-"/>
    <numFmt numFmtId="167" formatCode="0.0\x"/>
    <numFmt numFmtId="168" formatCode="#,##0;[Red]\(#,##0\);\-"/>
  </numFmts>
  <fonts count="13">
    <font>
      <sz val="11"/>
      <name val="Carlito"/>
    </font>
    <font>
      <b/>
      <sz val="16"/>
      <color rgb="FFFFFFFF"/>
      <name val="Carlito"/>
    </font>
    <font>
      <i/>
      <sz val="11"/>
      <color rgb="FF595959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8000"/>
      <name val="Carlito"/>
    </font>
    <font>
      <b/>
      <sz val="11"/>
      <name val="Carlito"/>
    </font>
    <font>
      <b/>
      <sz val="16"/>
      <name val="Carlito"/>
    </font>
    <font>
      <b/>
      <sz val="11"/>
      <color rgb="FF0000FF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595959"/>
      <name val="Carlito"/>
    </font>
    <font>
      <b/>
      <sz val="13"/>
      <color rgb="FFFFFFFF"/>
      <name val="Carlito"/>
    </font>
  </fonts>
  <fills count="3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164" fontId="4" fillId="0" borderId="0" xfId="0" applyNumberFormat="1" applyFont="1" applyFill="1" applyBorder="1"/>
    <xf numFmtId="0" fontId="5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0" fontId="4" fillId="0" borderId="0" xfId="0" applyNumberFormat="1" applyFont="1" applyFill="1" applyBorder="1"/>
    <xf numFmtId="166" fontId="4" fillId="0" borderId="0" xfId="0" applyNumberFormat="1" applyFont="1" applyFill="1" applyBorder="1"/>
    <xf numFmtId="167" fontId="0" fillId="0" borderId="0" xfId="0" applyNumberFormat="1" applyFont="1" applyFill="1" applyBorder="1"/>
    <xf numFmtId="0" fontId="1" fillId="6" borderId="0" xfId="0" applyNumberFormat="1" applyFont="1" applyFill="1" applyBorder="1" applyAlignment="1">
      <alignment vertical="center"/>
    </xf>
    <xf numFmtId="0" fontId="2" fillId="7" borderId="0" xfId="0" applyNumberFormat="1" applyFont="1" applyFill="1" applyBorder="1" applyAlignment="1">
      <alignment wrapText="1"/>
    </xf>
    <xf numFmtId="0" fontId="3" fillId="8" borderId="0" xfId="0" applyNumberFormat="1" applyFont="1" applyFill="1" applyBorder="1" applyAlignment="1">
      <alignment horizontal="center" vertical="center" wrapText="1"/>
    </xf>
    <xf numFmtId="0" fontId="3" fillId="8" borderId="0" xfId="0" applyNumberFormat="1" applyFont="1" applyFill="1" applyBorder="1" applyAlignment="1">
      <alignment horizontal="center" wrapText="1"/>
    </xf>
    <xf numFmtId="164" fontId="4" fillId="0" borderId="0" xfId="0" applyNumberFormat="1" applyFont="1" applyFill="1" applyBorder="1" applyAlignment="1">
      <alignment wrapText="1"/>
    </xf>
    <xf numFmtId="168" fontId="4" fillId="0" borderId="0" xfId="0" applyNumberFormat="1" applyFont="1" applyFill="1" applyBorder="1" applyAlignment="1">
      <alignment wrapText="1"/>
    </xf>
    <xf numFmtId="166" fontId="4" fillId="0" borderId="0" xfId="0" applyNumberFormat="1" applyFont="1" applyFill="1" applyBorder="1" applyAlignment="1">
      <alignment wrapText="1"/>
    </xf>
    <xf numFmtId="164" fontId="9" fillId="0" borderId="0" xfId="0" applyNumberFormat="1" applyFont="1" applyFill="1" applyBorder="1" applyAlignment="1">
      <alignment wrapText="1"/>
    </xf>
    <xf numFmtId="168" fontId="9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8" fontId="0" fillId="0" borderId="0" xfId="0" applyNumberFormat="1" applyFont="1" applyFill="1" applyBorder="1" applyAlignment="1">
      <alignment wrapText="1"/>
    </xf>
    <xf numFmtId="0" fontId="6" fillId="5" borderId="0" xfId="0" applyNumberFormat="1" applyFont="1" applyFill="1" applyBorder="1" applyAlignment="1">
      <alignment wrapText="1"/>
    </xf>
    <xf numFmtId="164" fontId="6" fillId="5" borderId="0" xfId="0" applyNumberFormat="1" applyFont="1" applyFill="1" applyBorder="1" applyAlignment="1">
      <alignment wrapText="1"/>
    </xf>
    <xf numFmtId="168" fontId="6" fillId="5" borderId="0" xfId="0" applyNumberFormat="1" applyFont="1" applyFill="1" applyBorder="1" applyAlignment="1">
      <alignment wrapText="1"/>
    </xf>
    <xf numFmtId="164" fontId="8" fillId="5" borderId="0" xfId="0" applyNumberFormat="1" applyFont="1" applyFill="1" applyBorder="1" applyAlignment="1">
      <alignment wrapText="1"/>
    </xf>
    <xf numFmtId="166" fontId="3" fillId="6" borderId="0" xfId="0" applyNumberFormat="1" applyFont="1" applyFill="1" applyBorder="1" applyAlignment="1">
      <alignment wrapText="1"/>
    </xf>
    <xf numFmtId="168" fontId="3" fillId="6" borderId="0" xfId="0" applyNumberFormat="1" applyFont="1" applyFill="1" applyBorder="1" applyAlignment="1">
      <alignment wrapText="1"/>
    </xf>
    <xf numFmtId="164" fontId="3" fillId="6" borderId="0" xfId="0" applyNumberFormat="1" applyFont="1" applyFill="1" applyBorder="1" applyAlignment="1">
      <alignment wrapText="1"/>
    </xf>
    <xf numFmtId="168" fontId="10" fillId="6" borderId="0" xfId="0" applyNumberFormat="1" applyFont="1" applyFill="1" applyBorder="1" applyAlignment="1">
      <alignment wrapText="1"/>
    </xf>
    <xf numFmtId="164" fontId="10" fillId="6" borderId="0" xfId="0" applyNumberFormat="1" applyFont="1" applyFill="1" applyBorder="1" applyAlignment="1">
      <alignment wrapText="1"/>
    </xf>
    <xf numFmtId="0" fontId="6" fillId="9" borderId="0" xfId="0" applyNumberFormat="1" applyFont="1" applyFill="1" applyBorder="1" applyAlignment="1">
      <alignment wrapText="1"/>
    </xf>
    <xf numFmtId="164" fontId="10" fillId="9" borderId="0" xfId="0" applyNumberFormat="1" applyFont="1" applyFill="1" applyBorder="1" applyAlignment="1">
      <alignment wrapText="1"/>
    </xf>
    <xf numFmtId="166" fontId="10" fillId="9" borderId="0" xfId="0" applyNumberFormat="1" applyFont="1" applyFill="1" applyBorder="1" applyAlignment="1">
      <alignment wrapText="1"/>
    </xf>
    <xf numFmtId="0" fontId="3" fillId="12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>
      <alignment wrapText="1"/>
    </xf>
    <xf numFmtId="0" fontId="1" fillId="13" borderId="0" xfId="0" applyNumberFormat="1" applyFont="1" applyFill="1" applyBorder="1" applyAlignment="1">
      <alignment vertical="center"/>
    </xf>
    <xf numFmtId="0" fontId="2" fillId="14" borderId="0" xfId="0" applyNumberFormat="1" applyFont="1" applyFill="1" applyBorder="1" applyAlignment="1">
      <alignment wrapText="1"/>
    </xf>
    <xf numFmtId="0" fontId="3" fillId="15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wrapText="1"/>
    </xf>
    <xf numFmtId="0" fontId="3" fillId="13" borderId="0" xfId="0" applyNumberFormat="1" applyFont="1" applyFill="1" applyBorder="1"/>
    <xf numFmtId="164" fontId="3" fillId="13" borderId="0" xfId="0" applyNumberFormat="1" applyFont="1" applyFill="1" applyBorder="1"/>
    <xf numFmtId="166" fontId="3" fillId="13" borderId="0" xfId="0" applyNumberFormat="1" applyFont="1" applyFill="1" applyBorder="1"/>
    <xf numFmtId="0" fontId="3" fillId="19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wrapText="1"/>
    </xf>
    <xf numFmtId="165" fontId="4" fillId="0" borderId="0" xfId="0" applyNumberFormat="1" applyFont="1" applyFill="1" applyBorder="1" applyAlignment="1">
      <alignment wrapText="1"/>
    </xf>
    <xf numFmtId="0" fontId="9" fillId="0" borderId="0" xfId="0" applyNumberFormat="1" applyFont="1" applyFill="1" applyBorder="1" applyAlignment="1">
      <alignment wrapText="1"/>
    </xf>
    <xf numFmtId="165" fontId="9" fillId="0" borderId="0" xfId="0" applyNumberFormat="1" applyFont="1" applyFill="1" applyBorder="1" applyAlignment="1">
      <alignment wrapText="1"/>
    </xf>
    <xf numFmtId="0" fontId="1" fillId="20" borderId="0" xfId="0" applyNumberFormat="1" applyFont="1" applyFill="1" applyBorder="1" applyAlignment="1">
      <alignment vertical="center"/>
    </xf>
    <xf numFmtId="0" fontId="2" fillId="21" borderId="0" xfId="0" applyNumberFormat="1" applyFont="1" applyFill="1" applyBorder="1" applyAlignment="1">
      <alignment wrapText="1"/>
    </xf>
    <xf numFmtId="0" fontId="3" fillId="22" borderId="0" xfId="0" applyNumberFormat="1" applyFont="1" applyFill="1" applyBorder="1" applyAlignment="1">
      <alignment horizontal="center" vertical="center" wrapText="1"/>
    </xf>
    <xf numFmtId="0" fontId="3" fillId="26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  <xf numFmtId="0" fontId="12" fillId="29" borderId="0" xfId="0" applyNumberFormat="1" applyFont="1" applyFill="1" applyBorder="1" applyAlignment="1">
      <alignment horizontal="center" wrapText="1"/>
    </xf>
    <xf numFmtId="0" fontId="1" fillId="20" borderId="0" xfId="0" applyNumberFormat="1" applyFont="1" applyFill="1" applyBorder="1" applyAlignment="1">
      <alignment vertical="center"/>
    </xf>
    <xf numFmtId="0" fontId="2" fillId="21" borderId="0" xfId="0" applyNumberFormat="1" applyFont="1" applyFill="1" applyBorder="1" applyAlignment="1">
      <alignment wrapText="1"/>
    </xf>
    <xf numFmtId="0" fontId="1" fillId="6" borderId="0" xfId="0" applyNumberFormat="1" applyFont="1" applyFill="1" applyBorder="1" applyAlignment="1">
      <alignment vertical="center"/>
    </xf>
    <xf numFmtId="0" fontId="2" fillId="7" borderId="0" xfId="0" applyNumberFormat="1" applyFont="1" applyFill="1" applyBorder="1" applyAlignment="1">
      <alignment wrapText="1"/>
    </xf>
    <xf numFmtId="0" fontId="3" fillId="6" borderId="0" xfId="0" applyNumberFormat="1" applyFont="1" applyFill="1" applyBorder="1" applyAlignment="1">
      <alignment wrapText="1"/>
    </xf>
    <xf numFmtId="166" fontId="3" fillId="6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/>
    </xf>
    <xf numFmtId="164" fontId="7" fillId="3" borderId="0" xfId="0" applyNumberFormat="1" applyFont="1" applyFill="1" applyBorder="1" applyAlignment="1">
      <alignment horizontal="center" vertical="center"/>
    </xf>
    <xf numFmtId="0" fontId="3" fillId="10" borderId="0" xfId="0" applyNumberFormat="1" applyFont="1" applyFill="1" applyBorder="1" applyAlignment="1">
      <alignment horizontal="left"/>
    </xf>
    <xf numFmtId="0" fontId="3" fillId="13" borderId="0" xfId="0" applyNumberFormat="1" applyFont="1" applyFill="1" applyBorder="1"/>
    <xf numFmtId="0" fontId="1" fillId="10" borderId="0" xfId="0" applyNumberFormat="1" applyFont="1" applyFill="1" applyBorder="1" applyAlignment="1">
      <alignment vertical="center"/>
    </xf>
    <xf numFmtId="0" fontId="2" fillId="11" borderId="0" xfId="0" applyNumberFormat="1" applyFont="1" applyFill="1" applyBorder="1" applyAlignment="1">
      <alignment wrapText="1"/>
    </xf>
    <xf numFmtId="0" fontId="1" fillId="24" borderId="0" xfId="0" applyNumberFormat="1" applyFont="1" applyFill="1" applyBorder="1" applyAlignment="1">
      <alignment vertical="center"/>
    </xf>
    <xf numFmtId="0" fontId="2" fillId="27" borderId="0" xfId="0" applyNumberFormat="1" applyFont="1" applyFill="1" applyBorder="1" applyAlignment="1">
      <alignment wrapText="1"/>
    </xf>
    <xf numFmtId="0" fontId="3" fillId="13" borderId="0" xfId="0" applyNumberFormat="1" applyFont="1" applyFill="1" applyBorder="1" applyAlignment="1">
      <alignment wrapText="1"/>
    </xf>
    <xf numFmtId="0" fontId="3" fillId="17" borderId="0" xfId="0" applyNumberFormat="1" applyFont="1" applyFill="1" applyBorder="1" applyAlignment="1">
      <alignment wrapText="1"/>
    </xf>
    <xf numFmtId="0" fontId="3" fillId="20" borderId="0" xfId="0" applyNumberFormat="1" applyFont="1" applyFill="1" applyBorder="1" applyAlignment="1">
      <alignment wrapText="1"/>
    </xf>
    <xf numFmtId="0" fontId="1" fillId="13" borderId="0" xfId="0" applyNumberFormat="1" applyFont="1" applyFill="1" applyBorder="1" applyAlignment="1">
      <alignment vertical="center"/>
    </xf>
    <xf numFmtId="0" fontId="2" fillId="14" borderId="0" xfId="0" applyNumberFormat="1" applyFont="1" applyFill="1" applyBorder="1" applyAlignment="1">
      <alignment wrapText="1"/>
    </xf>
    <xf numFmtId="0" fontId="2" fillId="16" borderId="0" xfId="0" applyNumberFormat="1" applyFont="1" applyFill="1" applyBorder="1" applyAlignment="1">
      <alignment wrapText="1"/>
    </xf>
    <xf numFmtId="0" fontId="1" fillId="17" borderId="0" xfId="0" applyNumberFormat="1" applyFont="1" applyFill="1" applyBorder="1" applyAlignment="1">
      <alignment vertical="center"/>
    </xf>
    <xf numFmtId="0" fontId="2" fillId="18" borderId="0" xfId="0" applyNumberFormat="1" applyFont="1" applyFill="1" applyBorder="1" applyAlignment="1">
      <alignment wrapText="1"/>
    </xf>
    <xf numFmtId="0" fontId="11" fillId="23" borderId="0" xfId="0" applyNumberFormat="1" applyFont="1" applyFill="1" applyBorder="1" applyAlignment="1">
      <alignment wrapText="1"/>
    </xf>
    <xf numFmtId="0" fontId="11" fillId="28" borderId="0" xfId="0" applyNumberFormat="1" applyFont="1" applyFill="1" applyBorder="1" applyAlignment="1">
      <alignment wrapText="1"/>
    </xf>
    <xf numFmtId="0" fontId="2" fillId="25" borderId="0" xfId="0" applyNumberFormat="1" applyFont="1" applyFill="1" applyBorder="1" applyAlignment="1">
      <alignment wrapText="1"/>
    </xf>
    <xf numFmtId="0" fontId="11" fillId="27" borderId="0" xfId="0" applyNumberFormat="1" applyFont="1" applyFill="1" applyBorder="1" applyAlignment="1">
      <alignment wrapText="1"/>
    </xf>
  </cellXfs>
  <cellStyles count="1">
    <cellStyle name="Normal" xfId="0" builtinId="0"/>
  </cellStyles>
  <dxfs count="13">
    <dxf>
      <font>
        <b/>
        <color rgb="FFC0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Ingresos y utilidad operativa proyectada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Julio</c:v>
          </c:tx>
          <c:cat>
            <c:strRef>
              <c:f>'08_Presupuesto_Jul_Dic'!$A$15:$A$19</c:f>
              <c:strCache>
                <c:ptCount val="5"/>
                <c:pt idx="0">
                  <c:v>Ingresos proyectados por servicios</c:v>
                </c:pt>
                <c:pt idx="1">
                  <c:v>Costos directos estimados</c:v>
                </c:pt>
                <c:pt idx="2">
                  <c:v>Margen de contribución</c:v>
                </c:pt>
                <c:pt idx="3">
                  <c:v>Gastos fijos mensuales</c:v>
                </c:pt>
                <c:pt idx="4">
                  <c:v>Utilidad operativa</c:v>
                </c:pt>
              </c:strCache>
            </c:strRef>
          </c:cat>
          <c:val>
            <c:numRef>
              <c:f>'08_Presupuesto_Jul_Dic'!$B$15:$B$19</c:f>
              <c:numCache>
                <c:formatCode>\$#,##0.00;[Red]\(\$#,##0.00\);\-</c:formatCode>
                <c:ptCount val="5"/>
                <c:pt idx="0">
                  <c:v>2880</c:v>
                </c:pt>
                <c:pt idx="1">
                  <c:v>388</c:v>
                </c:pt>
                <c:pt idx="2">
                  <c:v>2492</c:v>
                </c:pt>
                <c:pt idx="3">
                  <c:v>2255</c:v>
                </c:pt>
                <c:pt idx="4">
                  <c:v>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1-483F-9A37-A0C35DAE9391}"/>
            </c:ext>
          </c:extLst>
        </c:ser>
        <c:ser>
          <c:idx val="1"/>
          <c:order val="1"/>
          <c:tx>
            <c:v>Agosto</c:v>
          </c:tx>
          <c:cat>
            <c:strRef>
              <c:f>'08_Presupuesto_Jul_Dic'!$A$15:$A$19</c:f>
              <c:strCache>
                <c:ptCount val="5"/>
                <c:pt idx="0">
                  <c:v>Ingresos proyectados por servicios</c:v>
                </c:pt>
                <c:pt idx="1">
                  <c:v>Costos directos estimados</c:v>
                </c:pt>
                <c:pt idx="2">
                  <c:v>Margen de contribución</c:v>
                </c:pt>
                <c:pt idx="3">
                  <c:v>Gastos fijos mensuales</c:v>
                </c:pt>
                <c:pt idx="4">
                  <c:v>Utilidad operativa</c:v>
                </c:pt>
              </c:strCache>
            </c:strRef>
          </c:cat>
          <c:val>
            <c:numRef>
              <c:f>'08_Presupuesto_Jul_Dic'!$C$15:$C$19</c:f>
              <c:numCache>
                <c:formatCode>\$#,##0.00;[Red]\(\$#,##0.00\);\-</c:formatCode>
                <c:ptCount val="5"/>
                <c:pt idx="0">
                  <c:v>4280</c:v>
                </c:pt>
                <c:pt idx="1">
                  <c:v>630.5</c:v>
                </c:pt>
                <c:pt idx="2">
                  <c:v>3649.5</c:v>
                </c:pt>
                <c:pt idx="3">
                  <c:v>2255</c:v>
                </c:pt>
                <c:pt idx="4">
                  <c:v>1394.5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D1-483F-9A37-A0C35DAE9391}"/>
            </c:ext>
          </c:extLst>
        </c:ser>
        <c:ser>
          <c:idx val="2"/>
          <c:order val="2"/>
          <c:tx>
            <c:v>Septiembre</c:v>
          </c:tx>
          <c:cat>
            <c:strRef>
              <c:f>'08_Presupuesto_Jul_Dic'!$A$15:$A$19</c:f>
              <c:strCache>
                <c:ptCount val="5"/>
                <c:pt idx="0">
                  <c:v>Ingresos proyectados por servicios</c:v>
                </c:pt>
                <c:pt idx="1">
                  <c:v>Costos directos estimados</c:v>
                </c:pt>
                <c:pt idx="2">
                  <c:v>Margen de contribución</c:v>
                </c:pt>
                <c:pt idx="3">
                  <c:v>Gastos fijos mensuales</c:v>
                </c:pt>
                <c:pt idx="4">
                  <c:v>Utilidad operativa</c:v>
                </c:pt>
              </c:strCache>
            </c:strRef>
          </c:cat>
          <c:val>
            <c:numRef>
              <c:f>'08_Presupuesto_Jul_Dic'!$D$15:$D$19</c:f>
              <c:numCache>
                <c:formatCode>\$#,##0.00;[Red]\(\$#,##0.00\);\-</c:formatCode>
                <c:ptCount val="5"/>
                <c:pt idx="0">
                  <c:v>3650</c:v>
                </c:pt>
                <c:pt idx="1">
                  <c:v>509.25</c:v>
                </c:pt>
                <c:pt idx="2">
                  <c:v>3140.75</c:v>
                </c:pt>
                <c:pt idx="3">
                  <c:v>2255</c:v>
                </c:pt>
                <c:pt idx="4">
                  <c:v>885.75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D1-483F-9A37-A0C35DAE9391}"/>
            </c:ext>
          </c:extLst>
        </c:ser>
        <c:ser>
          <c:idx val="3"/>
          <c:order val="3"/>
          <c:tx>
            <c:v>Octubre</c:v>
          </c:tx>
          <c:cat>
            <c:strRef>
              <c:f>'08_Presupuesto_Jul_Dic'!$A$15:$A$19</c:f>
              <c:strCache>
                <c:ptCount val="5"/>
                <c:pt idx="0">
                  <c:v>Ingresos proyectados por servicios</c:v>
                </c:pt>
                <c:pt idx="1">
                  <c:v>Costos directos estimados</c:v>
                </c:pt>
                <c:pt idx="2">
                  <c:v>Margen de contribución</c:v>
                </c:pt>
                <c:pt idx="3">
                  <c:v>Gastos fijos mensuales</c:v>
                </c:pt>
                <c:pt idx="4">
                  <c:v>Utilidad operativa</c:v>
                </c:pt>
              </c:strCache>
            </c:strRef>
          </c:cat>
          <c:val>
            <c:numRef>
              <c:f>'08_Presupuesto_Jul_Dic'!$E$15:$E$19</c:f>
              <c:numCache>
                <c:formatCode>\$#,##0.00;[Red]\(\$#,##0.00\);\-</c:formatCode>
                <c:ptCount val="5"/>
                <c:pt idx="0">
                  <c:v>3685</c:v>
                </c:pt>
                <c:pt idx="1">
                  <c:v>514.5</c:v>
                </c:pt>
                <c:pt idx="2">
                  <c:v>3170.5</c:v>
                </c:pt>
                <c:pt idx="3">
                  <c:v>2255</c:v>
                </c:pt>
                <c:pt idx="4">
                  <c:v>915.5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D1-483F-9A37-A0C35DAE9391}"/>
            </c:ext>
          </c:extLst>
        </c:ser>
        <c:ser>
          <c:idx val="4"/>
          <c:order val="4"/>
          <c:tx>
            <c:v>Noviembre</c:v>
          </c:tx>
          <c:cat>
            <c:strRef>
              <c:f>'08_Presupuesto_Jul_Dic'!$A$15:$A$19</c:f>
              <c:strCache>
                <c:ptCount val="5"/>
                <c:pt idx="0">
                  <c:v>Ingresos proyectados por servicios</c:v>
                </c:pt>
                <c:pt idx="1">
                  <c:v>Costos directos estimados</c:v>
                </c:pt>
                <c:pt idx="2">
                  <c:v>Margen de contribución</c:v>
                </c:pt>
                <c:pt idx="3">
                  <c:v>Gastos fijos mensuales</c:v>
                </c:pt>
                <c:pt idx="4">
                  <c:v>Utilidad operativa</c:v>
                </c:pt>
              </c:strCache>
            </c:strRef>
          </c:cat>
          <c:val>
            <c:numRef>
              <c:f>'08_Presupuesto_Jul_Dic'!$F$15:$F$19</c:f>
              <c:numCache>
                <c:formatCode>\$#,##0.00;[Red]\(\$#,##0.00\);\-</c:formatCode>
                <c:ptCount val="5"/>
                <c:pt idx="0">
                  <c:v>3805</c:v>
                </c:pt>
                <c:pt idx="1">
                  <c:v>528.25</c:v>
                </c:pt>
                <c:pt idx="2">
                  <c:v>3276.75</c:v>
                </c:pt>
                <c:pt idx="3">
                  <c:v>2255</c:v>
                </c:pt>
                <c:pt idx="4">
                  <c:v>1021.75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D1-483F-9A37-A0C35DAE9391}"/>
            </c:ext>
          </c:extLst>
        </c:ser>
        <c:ser>
          <c:idx val="5"/>
          <c:order val="5"/>
          <c:tx>
            <c:v>Diciembre</c:v>
          </c:tx>
          <c:cat>
            <c:strRef>
              <c:f>'08_Presupuesto_Jul_Dic'!$A$15:$A$19</c:f>
              <c:strCache>
                <c:ptCount val="5"/>
                <c:pt idx="0">
                  <c:v>Ingresos proyectados por servicios</c:v>
                </c:pt>
                <c:pt idx="1">
                  <c:v>Costos directos estimados</c:v>
                </c:pt>
                <c:pt idx="2">
                  <c:v>Margen de contribución</c:v>
                </c:pt>
                <c:pt idx="3">
                  <c:v>Gastos fijos mensuales</c:v>
                </c:pt>
                <c:pt idx="4">
                  <c:v>Utilidad operativa</c:v>
                </c:pt>
              </c:strCache>
            </c:strRef>
          </c:cat>
          <c:val>
            <c:numRef>
              <c:f>'08_Presupuesto_Jul_Dic'!$G$15:$G$19</c:f>
              <c:numCache>
                <c:formatCode>\$#,##0.00;[Red]\(\$#,##0.00\);\-</c:formatCode>
                <c:ptCount val="5"/>
                <c:pt idx="0">
                  <c:v>4140</c:v>
                </c:pt>
                <c:pt idx="1">
                  <c:v>569.5</c:v>
                </c:pt>
                <c:pt idx="2">
                  <c:v>3570.5</c:v>
                </c:pt>
                <c:pt idx="3">
                  <c:v>2255</c:v>
                </c:pt>
                <c:pt idx="4">
                  <c:v>1315.5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D1-483F-9A37-A0C35DAE9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;[Red]\(\$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SV"/>
              <a:t>Proyección por mezcla de servicios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Ingresos proyectados ($)</c:v>
          </c:tx>
          <c:cat>
            <c:strRef>
              <c:f>'10_Dashboard'!$A$10:$A$15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'10_Dashboard'!$B$10:$B$15</c:f>
              <c:numCache>
                <c:formatCode>\$#,##0.00;[Red]\(\$#,##0.00\);\-</c:formatCode>
                <c:ptCount val="6"/>
                <c:pt idx="0">
                  <c:v>2880</c:v>
                </c:pt>
                <c:pt idx="1">
                  <c:v>4280</c:v>
                </c:pt>
                <c:pt idx="2">
                  <c:v>3650</c:v>
                </c:pt>
                <c:pt idx="3">
                  <c:v>3685</c:v>
                </c:pt>
                <c:pt idx="4">
                  <c:v>3805</c:v>
                </c:pt>
                <c:pt idx="5">
                  <c:v>4140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8-4C21-8CEC-0415F4C1E8E6}"/>
            </c:ext>
          </c:extLst>
        </c:ser>
        <c:ser>
          <c:idx val="1"/>
          <c:order val="1"/>
          <c:tx>
            <c:v>Utilidad operativa ($)</c:v>
          </c:tx>
          <c:cat>
            <c:strRef>
              <c:f>'10_Dashboard'!$A$10:$A$15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'10_Dashboard'!$C$10:$C$15</c:f>
              <c:numCache>
                <c:formatCode>\$#,##0.00;[Red]\(\$#,##0.00\);\-</c:formatCode>
                <c:ptCount val="6"/>
                <c:pt idx="0">
                  <c:v>237</c:v>
                </c:pt>
                <c:pt idx="1">
                  <c:v>1394.5</c:v>
                </c:pt>
                <c:pt idx="2">
                  <c:v>885.75</c:v>
                </c:pt>
                <c:pt idx="3">
                  <c:v>915.5</c:v>
                </c:pt>
                <c:pt idx="4">
                  <c:v>1021.75</c:v>
                </c:pt>
                <c:pt idx="5">
                  <c:v>1315.5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F8-4C21-8CEC-0415F4C1E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;[Red]\(\$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SV"/>
              <a:t>Meta de ingresos vs. ingresos reales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Meta ingresos ($)</c:v>
          </c:tx>
          <c:cat>
            <c:strRef>
              <c:f>'17_Resumen_Mensual'!$A$5:$A$10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'17_Resumen_Mensual'!$B$5:$B$10</c:f>
              <c:numCache>
                <c:formatCode>\$#,##0.00;[Red]\(\$#,##0.00\);\-</c:formatCode>
                <c:ptCount val="6"/>
                <c:pt idx="0">
                  <c:v>3080</c:v>
                </c:pt>
                <c:pt idx="1">
                  <c:v>4280</c:v>
                </c:pt>
                <c:pt idx="2">
                  <c:v>3650</c:v>
                </c:pt>
                <c:pt idx="3">
                  <c:v>3685</c:v>
                </c:pt>
                <c:pt idx="4">
                  <c:v>3805</c:v>
                </c:pt>
                <c:pt idx="5">
                  <c:v>4140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DF-47C0-960F-24D01E8E9352}"/>
            </c:ext>
          </c:extLst>
        </c:ser>
        <c:ser>
          <c:idx val="1"/>
          <c:order val="1"/>
          <c:tx>
            <c:v>Ingresos reales ($)</c:v>
          </c:tx>
          <c:cat>
            <c:strRef>
              <c:f>'17_Resumen_Mensual'!$A$5:$A$10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'17_Resumen_Mensual'!$C$5:$C$10</c:f>
              <c:numCache>
                <c:formatCode>\$#,##0.00;[Red]\(\$#,##0.00\);\-</c:formatCode>
                <c:ptCount val="6"/>
                <c:pt idx="0">
                  <c:v>350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DF-47C0-960F-24D01E8E9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;[Red]\(\$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Utilidad operativa real vs. mínima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Utilidad operativa real</c:v>
          </c:tx>
          <c:cat>
            <c:strRef>
              <c:f>'17_Resumen_Mensual'!$Q$5:$Q$10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'17_Resumen_Mensual'!$R$5:$R$10</c:f>
              <c:numCache>
                <c:formatCode>General</c:formatCode>
                <c:ptCount val="6"/>
                <c:pt idx="0">
                  <c:v>-1905</c:v>
                </c:pt>
                <c:pt idx="1">
                  <c:v>-2255</c:v>
                </c:pt>
                <c:pt idx="2">
                  <c:v>-2255</c:v>
                </c:pt>
                <c:pt idx="3">
                  <c:v>-2255</c:v>
                </c:pt>
                <c:pt idx="4">
                  <c:v>-2255</c:v>
                </c:pt>
                <c:pt idx="5">
                  <c:v>-2255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D-445F-8441-4A27A5578B69}"/>
            </c:ext>
          </c:extLst>
        </c:ser>
        <c:ser>
          <c:idx val="1"/>
          <c:order val="1"/>
          <c:tx>
            <c:v>Utilidad mínima</c:v>
          </c:tx>
          <c:cat>
            <c:strRef>
              <c:f>'17_Resumen_Mensual'!$Q$5:$Q$10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'17_Resumen_Mensual'!$S$5:$S$10</c:f>
              <c:numCache>
                <c:formatCode>General</c:formatCode>
                <c:ptCount val="6"/>
                <c:pt idx="0">
                  <c:v>616</c:v>
                </c:pt>
                <c:pt idx="1">
                  <c:v>856</c:v>
                </c:pt>
                <c:pt idx="2">
                  <c:v>730</c:v>
                </c:pt>
                <c:pt idx="3">
                  <c:v>737</c:v>
                </c:pt>
                <c:pt idx="4">
                  <c:v>761</c:v>
                </c:pt>
                <c:pt idx="5">
                  <c:v>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D-445F-8441-4A27A5578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23</xdr:row>
      <xdr:rowOff>0</xdr:rowOff>
    </xdr:from>
    <xdr:to>
      <xdr:col>22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iasV2" displayName="CategoriasV2" ref="A4:D19">
  <tableColumns count="4">
    <tableColumn id="1" xr3:uid="{00000000-0010-0000-0000-000001000000}" name="Código"/>
    <tableColumn id="2" xr3:uid="{00000000-0010-0000-0000-000002000000}" name="Categoría"/>
    <tableColumn id="3" xr3:uid="{00000000-0010-0000-0000-000003000000}" name="Descripción"/>
    <tableColumn id="4" xr3:uid="{00000000-0010-0000-0000-000004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bcategoriasV2" displayName="SubcategoriasV2" ref="A4:E77">
  <tableColumns count="5">
    <tableColumn id="1" xr3:uid="{00000000-0010-0000-0100-000001000000}" name="Categoría"/>
    <tableColumn id="2" xr3:uid="{00000000-0010-0000-0100-000002000000}" name="Código subcategoría"/>
    <tableColumn id="3" xr3:uid="{00000000-0010-0000-0100-000003000000}" name="Subcategoría"/>
    <tableColumn id="4" xr3:uid="{00000000-0010-0000-0100-000004000000}" name="Código compuesto"/>
    <tableColumn id="5" xr3:uid="{00000000-0010-0000-0100-000005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alogoServiciosV2" displayName="CatalogoServiciosV2" ref="A4:N186">
  <tableColumns count="14">
    <tableColumn id="1" xr3:uid="{00000000-0010-0000-0200-000001000000}" name="Código"/>
    <tableColumn id="2" xr3:uid="{00000000-0010-0000-0200-000002000000}" name="Cat."/>
    <tableColumn id="3" xr3:uid="{00000000-0010-0000-0200-000003000000}" name="Categoría"/>
    <tableColumn id="4" xr3:uid="{00000000-0010-0000-0200-000004000000}" name="Subcat."/>
    <tableColumn id="5" xr3:uid="{00000000-0010-0000-0200-000005000000}" name="Subcategoría"/>
    <tableColumn id="6" xr3:uid="{00000000-0010-0000-0200-000006000000}" name="Servicio"/>
    <tableColumn id="7" xr3:uid="{00000000-0010-0000-0200-000007000000}" name="Etiquetas"/>
    <tableColumn id="8" xr3:uid="{00000000-0010-0000-0200-000008000000}" name="Estado"/>
    <tableColumn id="9" xr3:uid="{00000000-0010-0000-0200-000009000000}" name="Unidad cobro"/>
    <tableColumn id="10" xr3:uid="{00000000-0010-0000-0200-00000A000000}" name="Responsable"/>
    <tableColumn id="11" xr3:uid="{00000000-0010-0000-0200-00000B000000}" name="Tarifa ref. ($)"/>
    <tableColumn id="12" xr3:uid="{00000000-0010-0000-0200-00000C000000}" name="Costo directo ref. ($)"/>
    <tableColumn id="13" xr3:uid="{00000000-0010-0000-0200-00000D000000}" name="Horas estándar"/>
    <tableColumn id="14" xr3:uid="{00000000-0010-0000-0200-00000E000000}" name="Margen ref. ($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istroOperacionesV2" displayName="RegistroOperacionesV2" ref="A4:J101">
  <tableColumns count="10">
    <tableColumn id="1" xr3:uid="{00000000-0010-0000-0300-000001000000}" name="Fecha"/>
    <tableColumn id="2" xr3:uid="{00000000-0010-0000-0300-000002000000}" name="Mes"/>
    <tableColumn id="3" xr3:uid="{00000000-0010-0000-0300-000003000000}" name="Cliente"/>
    <tableColumn id="4" xr3:uid="{00000000-0010-0000-0300-000004000000}" name="Concepto original"/>
    <tableColumn id="5" xr3:uid="{00000000-0010-0000-0300-000005000000}" name="Tipo"/>
    <tableColumn id="6" xr3:uid="{00000000-0010-0000-0300-000006000000}" name="Monto ($)"/>
    <tableColumn id="7" xr3:uid="{00000000-0010-0000-0300-000007000000}" name="Estado"/>
    <tableColumn id="8" xr3:uid="{00000000-0010-0000-0300-000008000000}" name="Código servicio"/>
    <tableColumn id="9" xr3:uid="{00000000-0010-0000-0300-000009000000}" name="Servicio normalizado"/>
    <tableColumn id="10" xr3:uid="{00000000-0010-0000-0300-00000A000000}" name="Not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rteraV2" displayName="CarteraV2" ref="A4:L13">
  <tableColumns count="12">
    <tableColumn id="1" xr3:uid="{00000000-0010-0000-0400-000001000000}" name="ID"/>
    <tableColumn id="2" xr3:uid="{00000000-0010-0000-0400-000002000000}" name="Cliente"/>
    <tableColumn id="3" xr3:uid="{00000000-0010-0000-0400-000003000000}" name="Servicio / proyecto"/>
    <tableColumn id="4" xr3:uid="{00000000-0010-0000-0400-000004000000}" name="Código servicio"/>
    <tableColumn id="5" xr3:uid="{00000000-0010-0000-0400-000005000000}" name="Honorarios totales ($)"/>
    <tableColumn id="6" xr3:uid="{00000000-0010-0000-0400-000006000000}" name="Cobrado ($)"/>
    <tableColumn id="7" xr3:uid="{00000000-0010-0000-0400-000007000000}" name="Saldo pendiente ($)"/>
    <tableColumn id="8" xr3:uid="{00000000-0010-0000-0400-000008000000}" name="Estado"/>
    <tableColumn id="9" xr3:uid="{00000000-0010-0000-0400-000009000000}" name="Mes esperado"/>
    <tableColumn id="10" xr3:uid="{00000000-0010-0000-0400-00000A000000}" name="Probabilidad"/>
    <tableColumn id="11" xr3:uid="{00000000-0010-0000-0400-00000B000000}" name="Cobro ponderado ($)"/>
    <tableColumn id="12" xr3:uid="{00000000-0010-0000-0400-00000C000000}" name="Próxima ac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workbookViewId="0">
      <selection sqref="A1:J1"/>
    </sheetView>
  </sheetViews>
  <sheetFormatPr baseColWidth="10" defaultColWidth="8.6640625" defaultRowHeight="14"/>
  <cols>
    <col min="1" max="1" width="30" customWidth="1"/>
    <col min="2" max="2" width="75" customWidth="1"/>
  </cols>
  <sheetData>
    <row r="1" spans="1:10" ht="20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0" customHeight="1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21.4" customHeight="1">
      <c r="A4" s="2" t="s">
        <v>2</v>
      </c>
      <c r="B4" s="2" t="s">
        <v>3</v>
      </c>
    </row>
    <row r="5" spans="1:10">
      <c r="A5" s="3" t="s">
        <v>4</v>
      </c>
      <c r="B5" s="3" t="s">
        <v>5</v>
      </c>
    </row>
    <row r="6" spans="1:10">
      <c r="A6" s="3" t="s">
        <v>6</v>
      </c>
      <c r="B6" s="3" t="s">
        <v>7</v>
      </c>
    </row>
    <row r="7" spans="1:10">
      <c r="A7" s="3" t="s">
        <v>8</v>
      </c>
      <c r="B7" s="3" t="s">
        <v>9</v>
      </c>
    </row>
    <row r="8" spans="1:10">
      <c r="A8" s="3" t="s">
        <v>10</v>
      </c>
      <c r="B8" s="3" t="s">
        <v>11</v>
      </c>
    </row>
    <row r="9" spans="1:10">
      <c r="A9" s="3" t="s">
        <v>12</v>
      </c>
      <c r="B9" s="3" t="s">
        <v>13</v>
      </c>
    </row>
    <row r="10" spans="1:10">
      <c r="A10" s="3" t="s">
        <v>14</v>
      </c>
      <c r="B10" s="3" t="s">
        <v>15</v>
      </c>
    </row>
    <row r="11" spans="1:10">
      <c r="A11" s="3" t="s">
        <v>16</v>
      </c>
      <c r="B11" s="3" t="s">
        <v>17</v>
      </c>
    </row>
    <row r="14" spans="1:10" ht="22.65" customHeight="1">
      <c r="A14" s="35" t="s">
        <v>18</v>
      </c>
      <c r="B14" s="35" t="s">
        <v>19</v>
      </c>
      <c r="C14" s="35" t="s">
        <v>20</v>
      </c>
      <c r="D14" s="35" t="s">
        <v>21</v>
      </c>
    </row>
    <row r="15" spans="1:10" ht="56">
      <c r="A15" s="3" t="s">
        <v>22</v>
      </c>
      <c r="B15" s="3" t="s">
        <v>23</v>
      </c>
      <c r="C15" s="3" t="s">
        <v>24</v>
      </c>
      <c r="D15" s="3" t="s">
        <v>25</v>
      </c>
    </row>
    <row r="16" spans="1:10" ht="28">
      <c r="A16" s="3" t="s">
        <v>26</v>
      </c>
      <c r="B16" s="3" t="s">
        <v>27</v>
      </c>
      <c r="C16" s="3" t="s">
        <v>28</v>
      </c>
      <c r="D16" s="3" t="s">
        <v>29</v>
      </c>
    </row>
    <row r="17" spans="1:4" ht="42">
      <c r="A17" s="3" t="s">
        <v>30</v>
      </c>
      <c r="B17" s="3" t="s">
        <v>31</v>
      </c>
      <c r="C17" s="3" t="s">
        <v>32</v>
      </c>
      <c r="D17" s="3" t="s">
        <v>29</v>
      </c>
    </row>
    <row r="18" spans="1:4" ht="42">
      <c r="A18" s="3" t="s">
        <v>33</v>
      </c>
      <c r="B18" s="3" t="s">
        <v>34</v>
      </c>
      <c r="C18" s="3" t="s">
        <v>35</v>
      </c>
      <c r="D18" s="3" t="s">
        <v>36</v>
      </c>
    </row>
    <row r="19" spans="1:4" ht="28">
      <c r="A19" s="3" t="s">
        <v>37</v>
      </c>
      <c r="B19" s="3" t="s">
        <v>38</v>
      </c>
      <c r="C19" s="3" t="s">
        <v>28</v>
      </c>
      <c r="D19" s="3" t="s">
        <v>29</v>
      </c>
    </row>
    <row r="21" spans="1:4" ht="24" customHeight="1">
      <c r="A21" s="40" t="s">
        <v>18</v>
      </c>
      <c r="B21" s="40" t="s">
        <v>39</v>
      </c>
      <c r="C21" s="40" t="s">
        <v>40</v>
      </c>
      <c r="D21" s="40" t="s">
        <v>41</v>
      </c>
    </row>
    <row r="22" spans="1:4" ht="42">
      <c r="A22" s="3" t="s">
        <v>42</v>
      </c>
      <c r="B22" s="3" t="s">
        <v>43</v>
      </c>
      <c r="C22" s="3" t="s">
        <v>44</v>
      </c>
      <c r="D22" s="3" t="s">
        <v>45</v>
      </c>
    </row>
    <row r="23" spans="1:4" ht="42">
      <c r="A23" s="3" t="s">
        <v>33</v>
      </c>
      <c r="B23" s="3" t="s">
        <v>46</v>
      </c>
      <c r="C23" s="3" t="s">
        <v>47</v>
      </c>
      <c r="D23" s="3" t="s">
        <v>45</v>
      </c>
    </row>
    <row r="24" spans="1:4" ht="56">
      <c r="A24" s="3" t="s">
        <v>48</v>
      </c>
      <c r="B24" s="3" t="s">
        <v>49</v>
      </c>
      <c r="C24" s="3" t="s">
        <v>50</v>
      </c>
      <c r="D24" s="3" t="s">
        <v>45</v>
      </c>
    </row>
    <row r="25" spans="1:4" ht="42">
      <c r="A25" s="3" t="s">
        <v>51</v>
      </c>
      <c r="B25" s="3" t="s">
        <v>52</v>
      </c>
      <c r="C25" s="3" t="s">
        <v>53</v>
      </c>
      <c r="D25" s="3" t="s">
        <v>45</v>
      </c>
    </row>
    <row r="27" spans="1:4" ht="24" customHeight="1">
      <c r="A27" s="45" t="s">
        <v>18</v>
      </c>
      <c r="B27" s="45" t="s">
        <v>39</v>
      </c>
      <c r="C27" s="45" t="s">
        <v>54</v>
      </c>
      <c r="D27" s="45" t="s">
        <v>40</v>
      </c>
    </row>
    <row r="28" spans="1:4" ht="42">
      <c r="A28" s="3" t="s">
        <v>55</v>
      </c>
      <c r="B28" s="3" t="s">
        <v>56</v>
      </c>
      <c r="C28" s="3" t="s">
        <v>57</v>
      </c>
      <c r="D28" s="3" t="s">
        <v>25</v>
      </c>
    </row>
    <row r="29" spans="1:4" ht="28">
      <c r="A29" s="3" t="s">
        <v>58</v>
      </c>
      <c r="B29" s="3" t="s">
        <v>59</v>
      </c>
      <c r="C29" s="3" t="s">
        <v>60</v>
      </c>
      <c r="D29" s="3" t="s">
        <v>61</v>
      </c>
    </row>
    <row r="30" spans="1:4" ht="28">
      <c r="A30" s="3" t="s">
        <v>62</v>
      </c>
      <c r="B30" s="3" t="s">
        <v>63</v>
      </c>
      <c r="C30" s="3" t="s">
        <v>64</v>
      </c>
      <c r="D30" s="3" t="s">
        <v>65</v>
      </c>
    </row>
    <row r="32" spans="1:4" ht="24" customHeight="1">
      <c r="A32" s="52" t="s">
        <v>18</v>
      </c>
      <c r="B32" s="52" t="s">
        <v>39</v>
      </c>
      <c r="C32" s="52" t="s">
        <v>40</v>
      </c>
      <c r="D32" s="52" t="s">
        <v>41</v>
      </c>
    </row>
    <row r="33" spans="1:4" ht="42">
      <c r="A33" s="3" t="s">
        <v>66</v>
      </c>
      <c r="B33" s="3" t="s">
        <v>67</v>
      </c>
      <c r="C33" s="3" t="s">
        <v>68</v>
      </c>
      <c r="D33" s="3" t="s">
        <v>45</v>
      </c>
    </row>
    <row r="34" spans="1:4" ht="28">
      <c r="A34" s="3" t="s">
        <v>69</v>
      </c>
      <c r="B34" s="3" t="s">
        <v>70</v>
      </c>
      <c r="C34" s="3" t="s">
        <v>71</v>
      </c>
      <c r="D34" s="3" t="s">
        <v>45</v>
      </c>
    </row>
    <row r="36" spans="1:4" ht="18.649999999999999" customHeight="1">
      <c r="A36" s="56" t="s">
        <v>72</v>
      </c>
      <c r="B36" s="56"/>
      <c r="C36" s="56"/>
      <c r="D36" s="56"/>
    </row>
    <row r="37" spans="1:4" ht="24" customHeight="1">
      <c r="A37" s="53" t="s">
        <v>18</v>
      </c>
      <c r="B37" s="53" t="s">
        <v>73</v>
      </c>
      <c r="C37" s="53" t="s">
        <v>74</v>
      </c>
      <c r="D37" s="53" t="s">
        <v>75</v>
      </c>
    </row>
    <row r="38" spans="1:4" ht="28">
      <c r="A38" s="3" t="s">
        <v>76</v>
      </c>
      <c r="B38" s="3" t="s">
        <v>77</v>
      </c>
      <c r="C38" s="3" t="s">
        <v>78</v>
      </c>
      <c r="D38" s="3" t="s">
        <v>45</v>
      </c>
    </row>
    <row r="39" spans="1:4" ht="28">
      <c r="A39" s="3" t="s">
        <v>26</v>
      </c>
      <c r="B39" s="3" t="s">
        <v>79</v>
      </c>
      <c r="C39" s="3" t="s">
        <v>80</v>
      </c>
      <c r="D39" s="3" t="s">
        <v>81</v>
      </c>
    </row>
  </sheetData>
  <mergeCells count="3">
    <mergeCell ref="A1:J1"/>
    <mergeCell ref="A2:J2"/>
    <mergeCell ref="A36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opLeftCell="A2" workbookViewId="0">
      <selection sqref="A1:D1"/>
    </sheetView>
  </sheetViews>
  <sheetFormatPr baseColWidth="10" defaultColWidth="8.6640625" defaultRowHeight="14"/>
  <cols>
    <col min="1" max="1" width="12" customWidth="1"/>
    <col min="2" max="2" width="36" customWidth="1"/>
    <col min="3" max="3" width="72" customWidth="1"/>
    <col min="4" max="4" width="14" customWidth="1"/>
  </cols>
  <sheetData>
    <row r="1" spans="1:4" ht="20" customHeight="1">
      <c r="A1" s="57" t="s">
        <v>82</v>
      </c>
      <c r="B1" s="57"/>
      <c r="C1" s="57"/>
      <c r="D1" s="57"/>
    </row>
    <row r="2" spans="1:4" ht="25.4" customHeight="1">
      <c r="A2" s="58" t="s">
        <v>83</v>
      </c>
      <c r="B2" s="58"/>
      <c r="C2" s="58"/>
      <c r="D2" s="58"/>
    </row>
    <row r="4" spans="1:4" ht="24" customHeight="1">
      <c r="A4" s="52" t="s">
        <v>4</v>
      </c>
      <c r="B4" s="52" t="s">
        <v>84</v>
      </c>
      <c r="C4" s="52" t="s">
        <v>85</v>
      </c>
      <c r="D4" s="52" t="s">
        <v>86</v>
      </c>
    </row>
    <row r="5" spans="1:4">
      <c r="A5" t="s">
        <v>87</v>
      </c>
      <c r="B5" t="s">
        <v>88</v>
      </c>
      <c r="C5" t="s">
        <v>89</v>
      </c>
      <c r="D5" t="s">
        <v>90</v>
      </c>
    </row>
    <row r="6" spans="1:4">
      <c r="A6" t="s">
        <v>91</v>
      </c>
      <c r="B6" t="s">
        <v>92</v>
      </c>
      <c r="C6" t="s">
        <v>93</v>
      </c>
      <c r="D6" t="s">
        <v>90</v>
      </c>
    </row>
    <row r="7" spans="1:4">
      <c r="A7" t="s">
        <v>69</v>
      </c>
      <c r="B7" t="s">
        <v>94</v>
      </c>
      <c r="C7" t="s">
        <v>95</v>
      </c>
      <c r="D7" t="s">
        <v>90</v>
      </c>
    </row>
    <row r="8" spans="1:4">
      <c r="A8" t="s">
        <v>96</v>
      </c>
      <c r="B8" t="s">
        <v>97</v>
      </c>
      <c r="C8" t="s">
        <v>98</v>
      </c>
      <c r="D8" t="s">
        <v>90</v>
      </c>
    </row>
    <row r="9" spans="1:4">
      <c r="A9" t="s">
        <v>99</v>
      </c>
      <c r="B9" t="s">
        <v>100</v>
      </c>
      <c r="C9" t="s">
        <v>101</v>
      </c>
      <c r="D9" t="s">
        <v>90</v>
      </c>
    </row>
    <row r="10" spans="1:4">
      <c r="A10" t="s">
        <v>102</v>
      </c>
      <c r="B10" t="s">
        <v>103</v>
      </c>
      <c r="C10" t="s">
        <v>104</v>
      </c>
      <c r="D10" t="s">
        <v>90</v>
      </c>
    </row>
    <row r="11" spans="1:4">
      <c r="A11" t="s">
        <v>105</v>
      </c>
      <c r="B11" t="s">
        <v>106</v>
      </c>
      <c r="C11" t="s">
        <v>107</v>
      </c>
      <c r="D11" t="s">
        <v>90</v>
      </c>
    </row>
    <row r="12" spans="1:4">
      <c r="A12" t="s">
        <v>108</v>
      </c>
      <c r="B12" t="s">
        <v>109</v>
      </c>
      <c r="C12" t="s">
        <v>110</v>
      </c>
      <c r="D12" t="s">
        <v>90</v>
      </c>
    </row>
    <row r="13" spans="1:4">
      <c r="A13" t="s">
        <v>111</v>
      </c>
      <c r="B13" t="s">
        <v>112</v>
      </c>
      <c r="C13" t="s">
        <v>113</v>
      </c>
      <c r="D13" t="s">
        <v>90</v>
      </c>
    </row>
    <row r="14" spans="1:4">
      <c r="A14" t="s">
        <v>114</v>
      </c>
      <c r="B14" t="s">
        <v>115</v>
      </c>
      <c r="C14" t="s">
        <v>116</v>
      </c>
      <c r="D14" t="s">
        <v>90</v>
      </c>
    </row>
    <row r="15" spans="1:4">
      <c r="A15" t="s">
        <v>117</v>
      </c>
      <c r="B15" t="s">
        <v>118</v>
      </c>
      <c r="C15" t="s">
        <v>119</v>
      </c>
      <c r="D15" t="s">
        <v>90</v>
      </c>
    </row>
    <row r="16" spans="1:4">
      <c r="A16" t="s">
        <v>120</v>
      </c>
      <c r="B16" t="s">
        <v>121</v>
      </c>
      <c r="C16" t="s">
        <v>122</v>
      </c>
      <c r="D16" t="s">
        <v>90</v>
      </c>
    </row>
    <row r="17" spans="1:4">
      <c r="A17" t="s">
        <v>123</v>
      </c>
      <c r="B17" t="s">
        <v>124</v>
      </c>
      <c r="C17" t="s">
        <v>125</v>
      </c>
      <c r="D17" t="s">
        <v>90</v>
      </c>
    </row>
    <row r="18" spans="1:4">
      <c r="A18" t="s">
        <v>126</v>
      </c>
      <c r="B18" t="s">
        <v>127</v>
      </c>
      <c r="C18" t="s">
        <v>128</v>
      </c>
      <c r="D18" t="s">
        <v>90</v>
      </c>
    </row>
    <row r="19" spans="1:4">
      <c r="A19" t="s">
        <v>129</v>
      </c>
      <c r="B19" t="s">
        <v>130</v>
      </c>
      <c r="C19" t="s">
        <v>131</v>
      </c>
      <c r="D19" t="s">
        <v>90</v>
      </c>
    </row>
    <row r="20" spans="1:4">
      <c r="A20" t="s">
        <v>132</v>
      </c>
      <c r="B20" t="s">
        <v>133</v>
      </c>
      <c r="C20" t="s">
        <v>134</v>
      </c>
      <c r="D20" t="s">
        <v>90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3"/>
  <sheetViews>
    <sheetView topLeftCell="A68" workbookViewId="0">
      <selection sqref="A1:E1"/>
    </sheetView>
  </sheetViews>
  <sheetFormatPr baseColWidth="10" defaultColWidth="8.6640625" defaultRowHeight="14"/>
  <cols>
    <col min="1" max="1" width="18" customWidth="1"/>
    <col min="2" max="2" width="36" customWidth="1"/>
    <col min="3" max="3" width="20" customWidth="1"/>
    <col min="4" max="4" width="44" customWidth="1"/>
    <col min="5" max="5" width="18" customWidth="1"/>
    <col min="6" max="6" width="12" customWidth="1"/>
  </cols>
  <sheetData>
    <row r="1" spans="1:6" ht="20" customHeight="1">
      <c r="A1" s="57" t="s">
        <v>135</v>
      </c>
      <c r="B1" s="57"/>
      <c r="C1" s="57"/>
      <c r="D1" s="57"/>
      <c r="E1" s="57"/>
      <c r="F1" s="50"/>
    </row>
    <row r="2" spans="1:6" ht="25.4" customHeight="1">
      <c r="A2" s="58" t="s">
        <v>136</v>
      </c>
      <c r="B2" s="58"/>
      <c r="C2" s="58"/>
      <c r="D2" s="58"/>
      <c r="E2" s="58"/>
      <c r="F2" s="51"/>
    </row>
    <row r="4" spans="1:6" ht="24" customHeight="1">
      <c r="A4" s="52" t="s">
        <v>137</v>
      </c>
      <c r="B4" s="52" t="s">
        <v>84</v>
      </c>
      <c r="C4" s="52" t="s">
        <v>138</v>
      </c>
      <c r="D4" s="52" t="s">
        <v>139</v>
      </c>
      <c r="E4" s="52" t="s">
        <v>140</v>
      </c>
      <c r="F4" s="52" t="s">
        <v>86</v>
      </c>
    </row>
    <row r="5" spans="1:6">
      <c r="A5" t="s">
        <v>87</v>
      </c>
      <c r="B5" t="s">
        <v>88</v>
      </c>
      <c r="C5" t="s">
        <v>141</v>
      </c>
      <c r="D5" t="s">
        <v>142</v>
      </c>
      <c r="E5" t="s">
        <v>143</v>
      </c>
      <c r="F5" t="s">
        <v>90</v>
      </c>
    </row>
    <row r="6" spans="1:6">
      <c r="A6" t="s">
        <v>87</v>
      </c>
      <c r="B6" t="s">
        <v>88</v>
      </c>
      <c r="C6" t="s">
        <v>144</v>
      </c>
      <c r="D6" t="s">
        <v>145</v>
      </c>
      <c r="E6" t="s">
        <v>146</v>
      </c>
      <c r="F6" t="s">
        <v>90</v>
      </c>
    </row>
    <row r="7" spans="1:6">
      <c r="A7" t="s">
        <v>87</v>
      </c>
      <c r="B7" t="s">
        <v>88</v>
      </c>
      <c r="C7" t="s">
        <v>147</v>
      </c>
      <c r="D7" t="s">
        <v>148</v>
      </c>
      <c r="E7" t="s">
        <v>149</v>
      </c>
      <c r="F7" t="s">
        <v>90</v>
      </c>
    </row>
    <row r="8" spans="1:6">
      <c r="A8" t="s">
        <v>87</v>
      </c>
      <c r="B8" t="s">
        <v>88</v>
      </c>
      <c r="C8" t="s">
        <v>150</v>
      </c>
      <c r="D8" t="s">
        <v>151</v>
      </c>
      <c r="E8" t="s">
        <v>152</v>
      </c>
      <c r="F8" t="s">
        <v>90</v>
      </c>
    </row>
    <row r="9" spans="1:6">
      <c r="A9" t="s">
        <v>87</v>
      </c>
      <c r="B9" t="s">
        <v>88</v>
      </c>
      <c r="C9" t="s">
        <v>153</v>
      </c>
      <c r="D9" t="s">
        <v>154</v>
      </c>
      <c r="E9" t="s">
        <v>155</v>
      </c>
      <c r="F9" t="s">
        <v>90</v>
      </c>
    </row>
    <row r="10" spans="1:6">
      <c r="A10" t="s">
        <v>87</v>
      </c>
      <c r="B10" t="s">
        <v>88</v>
      </c>
      <c r="C10" t="s">
        <v>156</v>
      </c>
      <c r="D10" t="s">
        <v>157</v>
      </c>
      <c r="E10" t="s">
        <v>158</v>
      </c>
      <c r="F10" t="s">
        <v>90</v>
      </c>
    </row>
    <row r="11" spans="1:6">
      <c r="A11" t="s">
        <v>87</v>
      </c>
      <c r="B11" t="s">
        <v>88</v>
      </c>
      <c r="C11" t="s">
        <v>159</v>
      </c>
      <c r="D11" t="s">
        <v>160</v>
      </c>
      <c r="E11" t="s">
        <v>161</v>
      </c>
      <c r="F11" t="s">
        <v>90</v>
      </c>
    </row>
    <row r="12" spans="1:6">
      <c r="A12" t="s">
        <v>87</v>
      </c>
      <c r="B12" t="s">
        <v>88</v>
      </c>
      <c r="C12" t="s">
        <v>162</v>
      </c>
      <c r="D12" t="s">
        <v>163</v>
      </c>
      <c r="E12" t="s">
        <v>164</v>
      </c>
      <c r="F12" t="s">
        <v>90</v>
      </c>
    </row>
    <row r="13" spans="1:6">
      <c r="A13" t="s">
        <v>91</v>
      </c>
      <c r="B13" t="s">
        <v>92</v>
      </c>
      <c r="C13" t="s">
        <v>165</v>
      </c>
      <c r="D13" t="s">
        <v>166</v>
      </c>
      <c r="E13" t="s">
        <v>167</v>
      </c>
      <c r="F13" t="s">
        <v>90</v>
      </c>
    </row>
    <row r="14" spans="1:6">
      <c r="A14" t="s">
        <v>91</v>
      </c>
      <c r="B14" t="s">
        <v>92</v>
      </c>
      <c r="C14" t="s">
        <v>168</v>
      </c>
      <c r="D14" t="s">
        <v>169</v>
      </c>
      <c r="E14" t="s">
        <v>170</v>
      </c>
      <c r="F14" t="s">
        <v>90</v>
      </c>
    </row>
    <row r="15" spans="1:6">
      <c r="A15" t="s">
        <v>91</v>
      </c>
      <c r="B15" t="s">
        <v>92</v>
      </c>
      <c r="C15" t="s">
        <v>171</v>
      </c>
      <c r="D15" t="s">
        <v>172</v>
      </c>
      <c r="E15" t="s">
        <v>173</v>
      </c>
      <c r="F15" t="s">
        <v>90</v>
      </c>
    </row>
    <row r="16" spans="1:6">
      <c r="A16" t="s">
        <v>91</v>
      </c>
      <c r="B16" t="s">
        <v>92</v>
      </c>
      <c r="C16" t="s">
        <v>174</v>
      </c>
      <c r="D16" t="s">
        <v>175</v>
      </c>
      <c r="E16" t="s">
        <v>176</v>
      </c>
      <c r="F16" t="s">
        <v>90</v>
      </c>
    </row>
    <row r="17" spans="1:6">
      <c r="A17" t="s">
        <v>96</v>
      </c>
      <c r="B17" t="s">
        <v>97</v>
      </c>
      <c r="C17" t="s">
        <v>177</v>
      </c>
      <c r="D17" t="s">
        <v>178</v>
      </c>
      <c r="E17" t="s">
        <v>179</v>
      </c>
      <c r="F17" t="s">
        <v>90</v>
      </c>
    </row>
    <row r="18" spans="1:6">
      <c r="A18" t="s">
        <v>96</v>
      </c>
      <c r="B18" t="s">
        <v>97</v>
      </c>
      <c r="C18" t="s">
        <v>180</v>
      </c>
      <c r="D18" t="s">
        <v>181</v>
      </c>
      <c r="E18" t="s">
        <v>182</v>
      </c>
      <c r="F18" t="s">
        <v>90</v>
      </c>
    </row>
    <row r="19" spans="1:6">
      <c r="A19" t="s">
        <v>96</v>
      </c>
      <c r="B19" t="s">
        <v>97</v>
      </c>
      <c r="C19" t="s">
        <v>183</v>
      </c>
      <c r="D19" t="s">
        <v>184</v>
      </c>
      <c r="E19" t="s">
        <v>185</v>
      </c>
      <c r="F19" t="s">
        <v>90</v>
      </c>
    </row>
    <row r="20" spans="1:6">
      <c r="A20" t="s">
        <v>96</v>
      </c>
      <c r="B20" t="s">
        <v>97</v>
      </c>
      <c r="C20" t="s">
        <v>186</v>
      </c>
      <c r="D20" t="s">
        <v>187</v>
      </c>
      <c r="E20" t="s">
        <v>188</v>
      </c>
      <c r="F20" t="s">
        <v>90</v>
      </c>
    </row>
    <row r="21" spans="1:6">
      <c r="A21" t="s">
        <v>96</v>
      </c>
      <c r="B21" t="s">
        <v>97</v>
      </c>
      <c r="C21" t="s">
        <v>189</v>
      </c>
      <c r="D21" t="s">
        <v>190</v>
      </c>
      <c r="E21" t="s">
        <v>191</v>
      </c>
      <c r="F21" t="s">
        <v>90</v>
      </c>
    </row>
    <row r="22" spans="1:6">
      <c r="A22" t="s">
        <v>96</v>
      </c>
      <c r="B22" t="s">
        <v>97</v>
      </c>
      <c r="C22" t="s">
        <v>192</v>
      </c>
      <c r="D22" t="s">
        <v>193</v>
      </c>
      <c r="E22" t="s">
        <v>194</v>
      </c>
      <c r="F22" t="s">
        <v>90</v>
      </c>
    </row>
    <row r="23" spans="1:6">
      <c r="A23" t="s">
        <v>96</v>
      </c>
      <c r="B23" t="s">
        <v>97</v>
      </c>
      <c r="C23" t="s">
        <v>195</v>
      </c>
      <c r="D23" t="s">
        <v>196</v>
      </c>
      <c r="E23" t="s">
        <v>197</v>
      </c>
      <c r="F23" t="s">
        <v>90</v>
      </c>
    </row>
    <row r="24" spans="1:6">
      <c r="A24" t="s">
        <v>99</v>
      </c>
      <c r="B24" t="s">
        <v>100</v>
      </c>
      <c r="C24" t="s">
        <v>198</v>
      </c>
      <c r="D24" t="s">
        <v>199</v>
      </c>
      <c r="E24" t="s">
        <v>200</v>
      </c>
      <c r="F24" t="s">
        <v>90</v>
      </c>
    </row>
    <row r="25" spans="1:6">
      <c r="A25" t="s">
        <v>99</v>
      </c>
      <c r="B25" t="s">
        <v>100</v>
      </c>
      <c r="C25" t="s">
        <v>201</v>
      </c>
      <c r="D25" t="s">
        <v>202</v>
      </c>
      <c r="E25" t="s">
        <v>203</v>
      </c>
      <c r="F25" t="s">
        <v>90</v>
      </c>
    </row>
    <row r="26" spans="1:6">
      <c r="A26" t="s">
        <v>99</v>
      </c>
      <c r="B26" t="s">
        <v>100</v>
      </c>
      <c r="C26" t="s">
        <v>204</v>
      </c>
      <c r="D26" t="s">
        <v>205</v>
      </c>
      <c r="E26" t="s">
        <v>206</v>
      </c>
      <c r="F26" t="s">
        <v>90</v>
      </c>
    </row>
    <row r="27" spans="1:6">
      <c r="A27" t="s">
        <v>99</v>
      </c>
      <c r="B27" t="s">
        <v>100</v>
      </c>
      <c r="C27" t="s">
        <v>207</v>
      </c>
      <c r="D27" t="s">
        <v>208</v>
      </c>
      <c r="E27" t="s">
        <v>209</v>
      </c>
      <c r="F27" t="s">
        <v>90</v>
      </c>
    </row>
    <row r="28" spans="1:6">
      <c r="A28" t="s">
        <v>99</v>
      </c>
      <c r="B28" t="s">
        <v>100</v>
      </c>
      <c r="C28" t="s">
        <v>210</v>
      </c>
      <c r="D28" t="s">
        <v>211</v>
      </c>
      <c r="E28" t="s">
        <v>212</v>
      </c>
      <c r="F28" t="s">
        <v>90</v>
      </c>
    </row>
    <row r="29" spans="1:6">
      <c r="A29" t="s">
        <v>99</v>
      </c>
      <c r="B29" t="s">
        <v>100</v>
      </c>
      <c r="C29" t="s">
        <v>213</v>
      </c>
      <c r="D29" t="s">
        <v>214</v>
      </c>
      <c r="E29" t="s">
        <v>215</v>
      </c>
      <c r="F29" t="s">
        <v>90</v>
      </c>
    </row>
    <row r="30" spans="1:6">
      <c r="A30" t="s">
        <v>102</v>
      </c>
      <c r="B30" t="s">
        <v>103</v>
      </c>
      <c r="C30" t="s">
        <v>216</v>
      </c>
      <c r="D30" t="s">
        <v>217</v>
      </c>
      <c r="E30" t="s">
        <v>218</v>
      </c>
      <c r="F30" t="s">
        <v>90</v>
      </c>
    </row>
    <row r="31" spans="1:6">
      <c r="A31" t="s">
        <v>102</v>
      </c>
      <c r="B31" t="s">
        <v>103</v>
      </c>
      <c r="C31" t="s">
        <v>219</v>
      </c>
      <c r="D31" t="s">
        <v>220</v>
      </c>
      <c r="E31" t="s">
        <v>221</v>
      </c>
      <c r="F31" t="s">
        <v>90</v>
      </c>
    </row>
    <row r="32" spans="1:6">
      <c r="A32" t="s">
        <v>102</v>
      </c>
      <c r="B32" t="s">
        <v>103</v>
      </c>
      <c r="C32" t="s">
        <v>222</v>
      </c>
      <c r="D32" t="s">
        <v>223</v>
      </c>
      <c r="E32" t="s">
        <v>224</v>
      </c>
      <c r="F32" t="s">
        <v>90</v>
      </c>
    </row>
    <row r="33" spans="1:6">
      <c r="A33" t="s">
        <v>102</v>
      </c>
      <c r="B33" t="s">
        <v>103</v>
      </c>
      <c r="C33" t="s">
        <v>225</v>
      </c>
      <c r="D33" t="s">
        <v>226</v>
      </c>
      <c r="E33" t="s">
        <v>227</v>
      </c>
      <c r="F33" t="s">
        <v>90</v>
      </c>
    </row>
    <row r="34" spans="1:6">
      <c r="A34" t="s">
        <v>102</v>
      </c>
      <c r="B34" t="s">
        <v>103</v>
      </c>
      <c r="C34" t="s">
        <v>228</v>
      </c>
      <c r="D34" t="s">
        <v>229</v>
      </c>
      <c r="E34" t="s">
        <v>230</v>
      </c>
      <c r="F34" t="s">
        <v>90</v>
      </c>
    </row>
    <row r="35" spans="1:6">
      <c r="A35" t="s">
        <v>102</v>
      </c>
      <c r="B35" t="s">
        <v>103</v>
      </c>
      <c r="C35" t="s">
        <v>231</v>
      </c>
      <c r="D35" t="s">
        <v>232</v>
      </c>
      <c r="E35" t="s">
        <v>233</v>
      </c>
      <c r="F35" t="s">
        <v>90</v>
      </c>
    </row>
    <row r="36" spans="1:6">
      <c r="A36" t="s">
        <v>105</v>
      </c>
      <c r="B36" t="s">
        <v>106</v>
      </c>
      <c r="C36" t="s">
        <v>234</v>
      </c>
      <c r="D36" t="s">
        <v>235</v>
      </c>
      <c r="E36" t="s">
        <v>236</v>
      </c>
      <c r="F36" t="s">
        <v>90</v>
      </c>
    </row>
    <row r="37" spans="1:6">
      <c r="A37" t="s">
        <v>105</v>
      </c>
      <c r="B37" t="s">
        <v>106</v>
      </c>
      <c r="C37" t="s">
        <v>237</v>
      </c>
      <c r="D37" t="s">
        <v>238</v>
      </c>
      <c r="E37" t="s">
        <v>239</v>
      </c>
      <c r="F37" t="s">
        <v>90</v>
      </c>
    </row>
    <row r="38" spans="1:6">
      <c r="A38" t="s">
        <v>105</v>
      </c>
      <c r="B38" t="s">
        <v>106</v>
      </c>
      <c r="C38" t="s">
        <v>240</v>
      </c>
      <c r="D38" t="s">
        <v>241</v>
      </c>
      <c r="E38" t="s">
        <v>242</v>
      </c>
      <c r="F38" t="s">
        <v>90</v>
      </c>
    </row>
    <row r="39" spans="1:6">
      <c r="A39" t="s">
        <v>105</v>
      </c>
      <c r="B39" t="s">
        <v>106</v>
      </c>
      <c r="C39" t="s">
        <v>243</v>
      </c>
      <c r="D39" t="s">
        <v>244</v>
      </c>
      <c r="E39" t="s">
        <v>245</v>
      </c>
      <c r="F39" t="s">
        <v>90</v>
      </c>
    </row>
    <row r="40" spans="1:6">
      <c r="A40" t="s">
        <v>105</v>
      </c>
      <c r="B40" t="s">
        <v>106</v>
      </c>
      <c r="C40" t="s">
        <v>246</v>
      </c>
      <c r="D40" t="s">
        <v>247</v>
      </c>
      <c r="E40" t="s">
        <v>248</v>
      </c>
      <c r="F40" t="s">
        <v>90</v>
      </c>
    </row>
    <row r="41" spans="1:6">
      <c r="A41" t="s">
        <v>105</v>
      </c>
      <c r="B41" t="s">
        <v>106</v>
      </c>
      <c r="C41" t="s">
        <v>249</v>
      </c>
      <c r="D41" t="s">
        <v>250</v>
      </c>
      <c r="E41" t="s">
        <v>251</v>
      </c>
      <c r="F41" t="s">
        <v>90</v>
      </c>
    </row>
    <row r="42" spans="1:6">
      <c r="A42" t="s">
        <v>105</v>
      </c>
      <c r="B42" t="s">
        <v>106</v>
      </c>
      <c r="C42" t="s">
        <v>252</v>
      </c>
      <c r="D42" t="s">
        <v>253</v>
      </c>
      <c r="E42" t="s">
        <v>254</v>
      </c>
      <c r="F42" t="s">
        <v>90</v>
      </c>
    </row>
    <row r="43" spans="1:6">
      <c r="A43" t="s">
        <v>108</v>
      </c>
      <c r="B43" t="s">
        <v>109</v>
      </c>
      <c r="C43" t="s">
        <v>255</v>
      </c>
      <c r="D43" t="s">
        <v>256</v>
      </c>
      <c r="E43" t="s">
        <v>257</v>
      </c>
      <c r="F43" t="s">
        <v>90</v>
      </c>
    </row>
    <row r="44" spans="1:6">
      <c r="A44" t="s">
        <v>108</v>
      </c>
      <c r="B44" t="s">
        <v>109</v>
      </c>
      <c r="C44" t="s">
        <v>258</v>
      </c>
      <c r="D44" t="s">
        <v>259</v>
      </c>
      <c r="E44" t="s">
        <v>260</v>
      </c>
      <c r="F44" t="s">
        <v>90</v>
      </c>
    </row>
    <row r="45" spans="1:6">
      <c r="A45" t="s">
        <v>108</v>
      </c>
      <c r="B45" t="s">
        <v>109</v>
      </c>
      <c r="C45" t="s">
        <v>261</v>
      </c>
      <c r="D45" t="s">
        <v>262</v>
      </c>
      <c r="E45" t="s">
        <v>263</v>
      </c>
      <c r="F45" t="s">
        <v>90</v>
      </c>
    </row>
    <row r="46" spans="1:6">
      <c r="A46" t="s">
        <v>108</v>
      </c>
      <c r="B46" t="s">
        <v>109</v>
      </c>
      <c r="C46" t="s">
        <v>264</v>
      </c>
      <c r="D46" t="s">
        <v>265</v>
      </c>
      <c r="E46" t="s">
        <v>266</v>
      </c>
      <c r="F46" t="s">
        <v>90</v>
      </c>
    </row>
    <row r="47" spans="1:6">
      <c r="A47" t="s">
        <v>108</v>
      </c>
      <c r="B47" t="s">
        <v>109</v>
      </c>
      <c r="C47" t="s">
        <v>267</v>
      </c>
      <c r="D47" t="s">
        <v>268</v>
      </c>
      <c r="E47" t="s">
        <v>269</v>
      </c>
      <c r="F47" t="s">
        <v>90</v>
      </c>
    </row>
    <row r="48" spans="1:6">
      <c r="A48" t="s">
        <v>111</v>
      </c>
      <c r="B48" t="s">
        <v>112</v>
      </c>
      <c r="C48" t="s">
        <v>270</v>
      </c>
      <c r="D48" t="s">
        <v>271</v>
      </c>
      <c r="E48" t="s">
        <v>272</v>
      </c>
      <c r="F48" t="s">
        <v>90</v>
      </c>
    </row>
    <row r="49" spans="1:6">
      <c r="A49" t="s">
        <v>111</v>
      </c>
      <c r="B49" t="s">
        <v>112</v>
      </c>
      <c r="C49" t="s">
        <v>273</v>
      </c>
      <c r="D49" t="s">
        <v>274</v>
      </c>
      <c r="E49" t="s">
        <v>275</v>
      </c>
      <c r="F49" t="s">
        <v>90</v>
      </c>
    </row>
    <row r="50" spans="1:6">
      <c r="A50" t="s">
        <v>111</v>
      </c>
      <c r="B50" t="s">
        <v>112</v>
      </c>
      <c r="C50" t="s">
        <v>276</v>
      </c>
      <c r="D50" t="s">
        <v>277</v>
      </c>
      <c r="E50" t="s">
        <v>278</v>
      </c>
      <c r="F50" t="s">
        <v>90</v>
      </c>
    </row>
    <row r="51" spans="1:6">
      <c r="A51" t="s">
        <v>111</v>
      </c>
      <c r="B51" t="s">
        <v>112</v>
      </c>
      <c r="C51" t="s">
        <v>279</v>
      </c>
      <c r="D51" t="s">
        <v>280</v>
      </c>
      <c r="E51" t="s">
        <v>281</v>
      </c>
      <c r="F51" t="s">
        <v>90</v>
      </c>
    </row>
    <row r="52" spans="1:6">
      <c r="A52" t="s">
        <v>111</v>
      </c>
      <c r="B52" t="s">
        <v>112</v>
      </c>
      <c r="C52" t="s">
        <v>141</v>
      </c>
      <c r="D52" t="s">
        <v>282</v>
      </c>
      <c r="E52" t="s">
        <v>283</v>
      </c>
      <c r="F52" t="s">
        <v>90</v>
      </c>
    </row>
    <row r="53" spans="1:6">
      <c r="A53" t="s">
        <v>114</v>
      </c>
      <c r="B53" t="s">
        <v>115</v>
      </c>
      <c r="C53" t="s">
        <v>284</v>
      </c>
      <c r="D53" t="s">
        <v>285</v>
      </c>
      <c r="E53" t="s">
        <v>286</v>
      </c>
      <c r="F53" t="s">
        <v>90</v>
      </c>
    </row>
    <row r="54" spans="1:6">
      <c r="A54" t="s">
        <v>114</v>
      </c>
      <c r="B54" t="s">
        <v>115</v>
      </c>
      <c r="C54" t="s">
        <v>287</v>
      </c>
      <c r="D54" t="s">
        <v>288</v>
      </c>
      <c r="E54" t="s">
        <v>289</v>
      </c>
      <c r="F54" t="s">
        <v>90</v>
      </c>
    </row>
    <row r="55" spans="1:6">
      <c r="A55" t="s">
        <v>114</v>
      </c>
      <c r="B55" t="s">
        <v>115</v>
      </c>
      <c r="C55" t="s">
        <v>290</v>
      </c>
      <c r="D55" t="s">
        <v>291</v>
      </c>
      <c r="E55" t="s">
        <v>292</v>
      </c>
      <c r="F55" t="s">
        <v>90</v>
      </c>
    </row>
    <row r="56" spans="1:6">
      <c r="A56" t="s">
        <v>114</v>
      </c>
      <c r="B56" t="s">
        <v>115</v>
      </c>
      <c r="C56" t="s">
        <v>293</v>
      </c>
      <c r="D56" t="s">
        <v>294</v>
      </c>
      <c r="E56" t="s">
        <v>295</v>
      </c>
      <c r="F56" t="s">
        <v>90</v>
      </c>
    </row>
    <row r="57" spans="1:6">
      <c r="A57" t="s">
        <v>114</v>
      </c>
      <c r="B57" t="s">
        <v>115</v>
      </c>
      <c r="C57" t="s">
        <v>296</v>
      </c>
      <c r="D57" t="s">
        <v>297</v>
      </c>
      <c r="E57" t="s">
        <v>298</v>
      </c>
      <c r="F57" t="s">
        <v>90</v>
      </c>
    </row>
    <row r="58" spans="1:6">
      <c r="A58" t="s">
        <v>117</v>
      </c>
      <c r="B58" t="s">
        <v>118</v>
      </c>
      <c r="C58" t="s">
        <v>299</v>
      </c>
      <c r="D58" t="s">
        <v>300</v>
      </c>
      <c r="E58" t="s">
        <v>301</v>
      </c>
      <c r="F58" t="s">
        <v>90</v>
      </c>
    </row>
    <row r="59" spans="1:6">
      <c r="A59" t="s">
        <v>117</v>
      </c>
      <c r="B59" t="s">
        <v>118</v>
      </c>
      <c r="C59" t="s">
        <v>302</v>
      </c>
      <c r="D59" t="s">
        <v>303</v>
      </c>
      <c r="E59" t="s">
        <v>304</v>
      </c>
      <c r="F59" t="s">
        <v>90</v>
      </c>
    </row>
    <row r="60" spans="1:6">
      <c r="A60" t="s">
        <v>117</v>
      </c>
      <c r="B60" t="s">
        <v>118</v>
      </c>
      <c r="C60" t="s">
        <v>305</v>
      </c>
      <c r="D60" t="s">
        <v>306</v>
      </c>
      <c r="E60" t="s">
        <v>307</v>
      </c>
      <c r="F60" t="s">
        <v>90</v>
      </c>
    </row>
    <row r="61" spans="1:6">
      <c r="A61" t="s">
        <v>120</v>
      </c>
      <c r="B61" t="s">
        <v>121</v>
      </c>
      <c r="C61" t="s">
        <v>308</v>
      </c>
      <c r="D61" t="s">
        <v>309</v>
      </c>
      <c r="E61" t="s">
        <v>310</v>
      </c>
      <c r="F61" t="s">
        <v>90</v>
      </c>
    </row>
    <row r="62" spans="1:6">
      <c r="A62" t="s">
        <v>120</v>
      </c>
      <c r="B62" t="s">
        <v>121</v>
      </c>
      <c r="C62" t="s">
        <v>311</v>
      </c>
      <c r="D62" t="s">
        <v>312</v>
      </c>
      <c r="E62" t="s">
        <v>313</v>
      </c>
      <c r="F62" t="s">
        <v>90</v>
      </c>
    </row>
    <row r="63" spans="1:6">
      <c r="A63" t="s">
        <v>120</v>
      </c>
      <c r="B63" t="s">
        <v>121</v>
      </c>
      <c r="C63" t="s">
        <v>314</v>
      </c>
      <c r="D63" t="s">
        <v>315</v>
      </c>
      <c r="E63" t="s">
        <v>316</v>
      </c>
      <c r="F63" t="s">
        <v>90</v>
      </c>
    </row>
    <row r="64" spans="1:6">
      <c r="A64" t="s">
        <v>123</v>
      </c>
      <c r="B64" t="s">
        <v>124</v>
      </c>
      <c r="C64" t="s">
        <v>317</v>
      </c>
      <c r="D64" t="s">
        <v>318</v>
      </c>
      <c r="E64" t="s">
        <v>319</v>
      </c>
      <c r="F64" t="s">
        <v>90</v>
      </c>
    </row>
    <row r="65" spans="1:6">
      <c r="A65" t="s">
        <v>123</v>
      </c>
      <c r="B65" t="s">
        <v>124</v>
      </c>
      <c r="C65" t="s">
        <v>320</v>
      </c>
      <c r="D65" t="s">
        <v>321</v>
      </c>
      <c r="E65" t="s">
        <v>322</v>
      </c>
      <c r="F65" t="s">
        <v>90</v>
      </c>
    </row>
    <row r="66" spans="1:6">
      <c r="A66" t="s">
        <v>123</v>
      </c>
      <c r="B66" t="s">
        <v>124</v>
      </c>
      <c r="C66" t="s">
        <v>323</v>
      </c>
      <c r="D66" t="s">
        <v>324</v>
      </c>
      <c r="E66" t="s">
        <v>325</v>
      </c>
      <c r="F66" t="s">
        <v>90</v>
      </c>
    </row>
    <row r="67" spans="1:6">
      <c r="A67" t="s">
        <v>126</v>
      </c>
      <c r="B67" t="s">
        <v>127</v>
      </c>
      <c r="C67" t="s">
        <v>326</v>
      </c>
      <c r="D67" t="s">
        <v>327</v>
      </c>
      <c r="E67" t="s">
        <v>328</v>
      </c>
      <c r="F67" t="s">
        <v>90</v>
      </c>
    </row>
    <row r="68" spans="1:6">
      <c r="A68" t="s">
        <v>126</v>
      </c>
      <c r="B68" t="s">
        <v>127</v>
      </c>
      <c r="C68" t="s">
        <v>329</v>
      </c>
      <c r="D68" t="s">
        <v>330</v>
      </c>
      <c r="E68" t="s">
        <v>331</v>
      </c>
      <c r="F68" t="s">
        <v>90</v>
      </c>
    </row>
    <row r="69" spans="1:6">
      <c r="A69" t="s">
        <v>126</v>
      </c>
      <c r="B69" t="s">
        <v>127</v>
      </c>
      <c r="C69" t="s">
        <v>332</v>
      </c>
      <c r="D69" t="s">
        <v>333</v>
      </c>
      <c r="E69" t="s">
        <v>334</v>
      </c>
      <c r="F69" t="s">
        <v>90</v>
      </c>
    </row>
    <row r="70" spans="1:6">
      <c r="A70" t="s">
        <v>129</v>
      </c>
      <c r="B70" t="s">
        <v>130</v>
      </c>
      <c r="C70" t="s">
        <v>240</v>
      </c>
      <c r="D70" t="s">
        <v>335</v>
      </c>
      <c r="E70" t="s">
        <v>336</v>
      </c>
      <c r="F70" t="s">
        <v>90</v>
      </c>
    </row>
    <row r="71" spans="1:6">
      <c r="A71" t="s">
        <v>129</v>
      </c>
      <c r="B71" t="s">
        <v>130</v>
      </c>
      <c r="C71" t="s">
        <v>337</v>
      </c>
      <c r="D71" t="s">
        <v>338</v>
      </c>
      <c r="E71" t="s">
        <v>339</v>
      </c>
      <c r="F71" t="s">
        <v>90</v>
      </c>
    </row>
    <row r="72" spans="1:6">
      <c r="A72" t="s">
        <v>129</v>
      </c>
      <c r="B72" t="s">
        <v>130</v>
      </c>
      <c r="C72" t="s">
        <v>340</v>
      </c>
      <c r="D72" t="s">
        <v>341</v>
      </c>
      <c r="E72" t="s">
        <v>342</v>
      </c>
      <c r="F72" t="s">
        <v>90</v>
      </c>
    </row>
    <row r="73" spans="1:6">
      <c r="A73" t="s">
        <v>132</v>
      </c>
      <c r="B73" t="s">
        <v>133</v>
      </c>
      <c r="C73" t="s">
        <v>343</v>
      </c>
      <c r="D73" t="s">
        <v>344</v>
      </c>
      <c r="E73" t="s">
        <v>345</v>
      </c>
      <c r="F73" t="s">
        <v>90</v>
      </c>
    </row>
    <row r="74" spans="1:6">
      <c r="A74" t="s">
        <v>132</v>
      </c>
      <c r="B74" t="s">
        <v>133</v>
      </c>
      <c r="C74" t="s">
        <v>346</v>
      </c>
      <c r="D74" t="s">
        <v>347</v>
      </c>
      <c r="E74" t="s">
        <v>348</v>
      </c>
      <c r="F74" t="s">
        <v>90</v>
      </c>
    </row>
    <row r="75" spans="1:6">
      <c r="A75" t="s">
        <v>132</v>
      </c>
      <c r="B75" t="s">
        <v>133</v>
      </c>
      <c r="C75" t="s">
        <v>349</v>
      </c>
      <c r="D75" t="s">
        <v>350</v>
      </c>
      <c r="E75" t="s">
        <v>351</v>
      </c>
      <c r="F75" t="s">
        <v>90</v>
      </c>
    </row>
    <row r="76" spans="1:6">
      <c r="A76" t="s">
        <v>132</v>
      </c>
      <c r="B76" t="s">
        <v>133</v>
      </c>
      <c r="C76" t="s">
        <v>352</v>
      </c>
      <c r="D76" t="s">
        <v>353</v>
      </c>
      <c r="E76" t="s">
        <v>354</v>
      </c>
      <c r="F76" t="s">
        <v>90</v>
      </c>
    </row>
    <row r="77" spans="1:6">
      <c r="A77" t="s">
        <v>69</v>
      </c>
      <c r="B77" t="s">
        <v>94</v>
      </c>
      <c r="C77" t="s">
        <v>355</v>
      </c>
      <c r="D77" t="s">
        <v>356</v>
      </c>
      <c r="E77" t="s">
        <v>357</v>
      </c>
      <c r="F77" t="s">
        <v>90</v>
      </c>
    </row>
    <row r="78" spans="1:6">
      <c r="A78" t="s">
        <v>69</v>
      </c>
      <c r="B78" t="s">
        <v>94</v>
      </c>
      <c r="C78" t="s">
        <v>358</v>
      </c>
      <c r="D78" t="s">
        <v>359</v>
      </c>
      <c r="E78" t="s">
        <v>360</v>
      </c>
      <c r="F78" t="s">
        <v>90</v>
      </c>
    </row>
    <row r="79" spans="1:6">
      <c r="A79" t="s">
        <v>69</v>
      </c>
      <c r="B79" t="s">
        <v>94</v>
      </c>
      <c r="C79" t="s">
        <v>361</v>
      </c>
      <c r="D79" t="s">
        <v>362</v>
      </c>
      <c r="E79" t="s">
        <v>363</v>
      </c>
      <c r="F79" t="s">
        <v>90</v>
      </c>
    </row>
    <row r="80" spans="1:6">
      <c r="A80" t="s">
        <v>69</v>
      </c>
      <c r="B80" t="s">
        <v>94</v>
      </c>
      <c r="C80" t="s">
        <v>364</v>
      </c>
      <c r="D80" t="s">
        <v>365</v>
      </c>
      <c r="E80" t="s">
        <v>366</v>
      </c>
      <c r="F80" t="s">
        <v>90</v>
      </c>
    </row>
    <row r="81" spans="1:6">
      <c r="A81" t="s">
        <v>69</v>
      </c>
      <c r="B81" t="s">
        <v>94</v>
      </c>
      <c r="C81" t="s">
        <v>367</v>
      </c>
      <c r="D81" t="s">
        <v>368</v>
      </c>
      <c r="E81" t="s">
        <v>369</v>
      </c>
      <c r="F81" t="s">
        <v>90</v>
      </c>
    </row>
    <row r="82" spans="1:6">
      <c r="A82" t="s">
        <v>69</v>
      </c>
      <c r="B82" t="s">
        <v>94</v>
      </c>
      <c r="C82" t="s">
        <v>370</v>
      </c>
      <c r="D82" t="s">
        <v>371</v>
      </c>
      <c r="E82" t="s">
        <v>372</v>
      </c>
      <c r="F82" t="s">
        <v>90</v>
      </c>
    </row>
    <row r="83" spans="1:6">
      <c r="A83" t="s">
        <v>69</v>
      </c>
      <c r="B83" t="s">
        <v>94</v>
      </c>
      <c r="C83" t="s">
        <v>373</v>
      </c>
      <c r="D83" t="s">
        <v>374</v>
      </c>
      <c r="E83" t="s">
        <v>375</v>
      </c>
      <c r="F83" t="s">
        <v>90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9"/>
  <sheetViews>
    <sheetView topLeftCell="A191" workbookViewId="0">
      <selection activeCell="C14" sqref="C14"/>
    </sheetView>
  </sheetViews>
  <sheetFormatPr baseColWidth="10" defaultColWidth="8.6640625" defaultRowHeight="14"/>
  <cols>
    <col min="1" max="1" width="22" customWidth="1"/>
    <col min="2" max="2" width="15" customWidth="1"/>
    <col min="3" max="3" width="36" customWidth="1"/>
    <col min="4" max="4" width="20" customWidth="1"/>
    <col min="5" max="5" width="42" customWidth="1"/>
    <col min="6" max="6" width="52" customWidth="1"/>
    <col min="7" max="7" width="38" customWidth="1"/>
    <col min="8" max="8" width="12" customWidth="1"/>
    <col min="9" max="9" width="18" customWidth="1"/>
    <col min="10" max="10" width="22" customWidth="1"/>
    <col min="11" max="11" width="18" customWidth="1"/>
    <col min="12" max="12" width="21" customWidth="1"/>
    <col min="13" max="13" width="15" customWidth="1"/>
    <col min="14" max="14" width="18" customWidth="1"/>
  </cols>
  <sheetData>
    <row r="1" spans="1:14" ht="20" customHeight="1">
      <c r="A1" s="57" t="s">
        <v>376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5.4" customHeight="1">
      <c r="A2" s="58" t="s">
        <v>377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4" spans="1:14" ht="24" customHeight="1">
      <c r="A4" s="52" t="s">
        <v>378</v>
      </c>
      <c r="B4" s="52" t="s">
        <v>379</v>
      </c>
      <c r="C4" s="52" t="s">
        <v>84</v>
      </c>
      <c r="D4" s="52" t="s">
        <v>380</v>
      </c>
      <c r="E4" s="52" t="s">
        <v>139</v>
      </c>
      <c r="F4" s="52" t="s">
        <v>381</v>
      </c>
      <c r="G4" s="52" t="s">
        <v>382</v>
      </c>
      <c r="H4" s="52" t="s">
        <v>86</v>
      </c>
      <c r="I4" s="52" t="s">
        <v>383</v>
      </c>
      <c r="J4" s="52" t="s">
        <v>384</v>
      </c>
      <c r="K4" s="52" t="s">
        <v>385</v>
      </c>
      <c r="L4" s="52" t="s">
        <v>386</v>
      </c>
      <c r="M4" s="52" t="s">
        <v>387</v>
      </c>
      <c r="N4" s="52" t="s">
        <v>388</v>
      </c>
    </row>
    <row r="5" spans="1:14">
      <c r="A5" s="6" t="s">
        <v>389</v>
      </c>
      <c r="B5" s="6" t="s">
        <v>87</v>
      </c>
      <c r="C5" s="6" t="s">
        <v>88</v>
      </c>
      <c r="D5" s="6" t="s">
        <v>141</v>
      </c>
      <c r="E5" s="6" t="s">
        <v>142</v>
      </c>
      <c r="F5" s="6" t="s">
        <v>390</v>
      </c>
      <c r="G5" s="6" t="s">
        <v>391</v>
      </c>
      <c r="H5" t="s">
        <v>90</v>
      </c>
      <c r="I5" t="s">
        <v>392</v>
      </c>
      <c r="J5" t="s">
        <v>392</v>
      </c>
      <c r="K5" s="5">
        <v>0</v>
      </c>
      <c r="L5" s="5">
        <v>0</v>
      </c>
      <c r="M5" s="5">
        <v>0</v>
      </c>
      <c r="N5" s="4">
        <f t="shared" ref="N5:N68" si="0">K5-L5</f>
        <v>0</v>
      </c>
    </row>
    <row r="6" spans="1:14">
      <c r="A6" s="6" t="s">
        <v>393</v>
      </c>
      <c r="B6" s="6" t="s">
        <v>87</v>
      </c>
      <c r="C6" s="6" t="s">
        <v>88</v>
      </c>
      <c r="D6" s="6" t="s">
        <v>141</v>
      </c>
      <c r="E6" s="6" t="s">
        <v>142</v>
      </c>
      <c r="F6" s="6" t="s">
        <v>394</v>
      </c>
      <c r="G6" s="6" t="s">
        <v>391</v>
      </c>
      <c r="H6" t="s">
        <v>90</v>
      </c>
      <c r="I6" t="s">
        <v>392</v>
      </c>
      <c r="J6" t="s">
        <v>392</v>
      </c>
      <c r="K6" s="5">
        <v>0</v>
      </c>
      <c r="L6" s="5">
        <v>0</v>
      </c>
      <c r="M6" s="5">
        <v>0</v>
      </c>
      <c r="N6" s="4">
        <f t="shared" si="0"/>
        <v>0</v>
      </c>
    </row>
    <row r="7" spans="1:14">
      <c r="A7" s="6" t="s">
        <v>395</v>
      </c>
      <c r="B7" s="6" t="s">
        <v>87</v>
      </c>
      <c r="C7" s="6" t="s">
        <v>88</v>
      </c>
      <c r="D7" s="6" t="s">
        <v>141</v>
      </c>
      <c r="E7" s="6" t="s">
        <v>142</v>
      </c>
      <c r="F7" s="6" t="s">
        <v>396</v>
      </c>
      <c r="G7" s="6" t="s">
        <v>391</v>
      </c>
      <c r="H7" t="s">
        <v>90</v>
      </c>
      <c r="I7" t="s">
        <v>392</v>
      </c>
      <c r="J7" t="s">
        <v>392</v>
      </c>
      <c r="K7" s="5">
        <v>0</v>
      </c>
      <c r="L7" s="5">
        <v>0</v>
      </c>
      <c r="M7" s="5">
        <v>0</v>
      </c>
      <c r="N7" s="4">
        <f t="shared" si="0"/>
        <v>0</v>
      </c>
    </row>
    <row r="8" spans="1:14">
      <c r="A8" s="6" t="s">
        <v>397</v>
      </c>
      <c r="B8" s="6" t="s">
        <v>87</v>
      </c>
      <c r="C8" s="6" t="s">
        <v>88</v>
      </c>
      <c r="D8" s="6" t="s">
        <v>141</v>
      </c>
      <c r="E8" s="6" t="s">
        <v>142</v>
      </c>
      <c r="F8" s="6" t="s">
        <v>398</v>
      </c>
      <c r="G8" s="6" t="s">
        <v>391</v>
      </c>
      <c r="H8" t="s">
        <v>90</v>
      </c>
      <c r="I8" t="s">
        <v>392</v>
      </c>
      <c r="J8" t="s">
        <v>392</v>
      </c>
      <c r="K8" s="5">
        <v>0</v>
      </c>
      <c r="L8" s="5">
        <v>0</v>
      </c>
      <c r="M8" s="5">
        <v>0</v>
      </c>
      <c r="N8" s="4">
        <f t="shared" si="0"/>
        <v>0</v>
      </c>
    </row>
    <row r="9" spans="1:14">
      <c r="A9" s="6" t="s">
        <v>399</v>
      </c>
      <c r="B9" s="6" t="s">
        <v>87</v>
      </c>
      <c r="C9" s="6" t="s">
        <v>88</v>
      </c>
      <c r="D9" s="6" t="s">
        <v>144</v>
      </c>
      <c r="E9" s="6" t="s">
        <v>145</v>
      </c>
      <c r="F9" s="6" t="s">
        <v>400</v>
      </c>
      <c r="G9" s="6" t="s">
        <v>401</v>
      </c>
      <c r="H9" t="s">
        <v>90</v>
      </c>
      <c r="I9" t="s">
        <v>392</v>
      </c>
      <c r="J9" t="s">
        <v>392</v>
      </c>
      <c r="K9" s="5">
        <v>0</v>
      </c>
      <c r="L9" s="5">
        <v>0</v>
      </c>
      <c r="M9" s="5">
        <v>0</v>
      </c>
      <c r="N9" s="4">
        <f t="shared" si="0"/>
        <v>0</v>
      </c>
    </row>
    <row r="10" spans="1:14">
      <c r="A10" s="6" t="s">
        <v>402</v>
      </c>
      <c r="B10" s="6" t="s">
        <v>87</v>
      </c>
      <c r="C10" s="6" t="s">
        <v>88</v>
      </c>
      <c r="D10" s="6" t="s">
        <v>144</v>
      </c>
      <c r="E10" s="6" t="s">
        <v>145</v>
      </c>
      <c r="F10" s="6" t="s">
        <v>403</v>
      </c>
      <c r="G10" s="6" t="s">
        <v>401</v>
      </c>
      <c r="H10" t="s">
        <v>90</v>
      </c>
      <c r="I10" t="s">
        <v>392</v>
      </c>
      <c r="J10" t="s">
        <v>392</v>
      </c>
      <c r="K10" s="5">
        <v>0</v>
      </c>
      <c r="L10" s="5">
        <v>0</v>
      </c>
      <c r="M10" s="5">
        <v>0</v>
      </c>
      <c r="N10" s="4">
        <f t="shared" si="0"/>
        <v>0</v>
      </c>
    </row>
    <row r="11" spans="1:14">
      <c r="A11" s="6" t="s">
        <v>404</v>
      </c>
      <c r="B11" s="6" t="s">
        <v>87</v>
      </c>
      <c r="C11" s="6" t="s">
        <v>88</v>
      </c>
      <c r="D11" s="6" t="s">
        <v>144</v>
      </c>
      <c r="E11" s="6" t="s">
        <v>145</v>
      </c>
      <c r="F11" s="6" t="s">
        <v>405</v>
      </c>
      <c r="G11" s="6" t="s">
        <v>401</v>
      </c>
      <c r="H11" t="s">
        <v>90</v>
      </c>
      <c r="I11" t="s">
        <v>392</v>
      </c>
      <c r="J11" t="s">
        <v>392</v>
      </c>
      <c r="K11" s="5">
        <v>0</v>
      </c>
      <c r="L11" s="5">
        <v>0</v>
      </c>
      <c r="M11" s="5">
        <v>0</v>
      </c>
      <c r="N11" s="4">
        <f t="shared" si="0"/>
        <v>0</v>
      </c>
    </row>
    <row r="12" spans="1:14">
      <c r="A12" s="6" t="s">
        <v>406</v>
      </c>
      <c r="B12" s="6" t="s">
        <v>87</v>
      </c>
      <c r="C12" s="6" t="s">
        <v>88</v>
      </c>
      <c r="D12" s="6" t="s">
        <v>147</v>
      </c>
      <c r="E12" s="6" t="s">
        <v>148</v>
      </c>
      <c r="F12" s="6" t="s">
        <v>407</v>
      </c>
      <c r="G12" s="6" t="s">
        <v>408</v>
      </c>
      <c r="H12" t="s">
        <v>90</v>
      </c>
      <c r="I12" t="s">
        <v>392</v>
      </c>
      <c r="J12" t="s">
        <v>392</v>
      </c>
      <c r="K12" s="5">
        <v>0</v>
      </c>
      <c r="L12" s="5">
        <v>0</v>
      </c>
      <c r="M12" s="5">
        <v>0</v>
      </c>
      <c r="N12" s="4">
        <f t="shared" si="0"/>
        <v>0</v>
      </c>
    </row>
    <row r="13" spans="1:14">
      <c r="A13" s="6" t="s">
        <v>409</v>
      </c>
      <c r="B13" s="6" t="s">
        <v>87</v>
      </c>
      <c r="C13" s="6" t="s">
        <v>88</v>
      </c>
      <c r="D13" s="6" t="s">
        <v>147</v>
      </c>
      <c r="E13" s="6" t="s">
        <v>148</v>
      </c>
      <c r="F13" s="6" t="s">
        <v>410</v>
      </c>
      <c r="G13" s="6" t="s">
        <v>408</v>
      </c>
      <c r="H13" t="s">
        <v>90</v>
      </c>
      <c r="I13" t="s">
        <v>392</v>
      </c>
      <c r="J13" t="s">
        <v>392</v>
      </c>
      <c r="K13" s="5">
        <v>0</v>
      </c>
      <c r="L13" s="5">
        <v>0</v>
      </c>
      <c r="M13" s="5">
        <v>0</v>
      </c>
      <c r="N13" s="4">
        <f t="shared" si="0"/>
        <v>0</v>
      </c>
    </row>
    <row r="14" spans="1:14">
      <c r="A14" s="6" t="s">
        <v>411</v>
      </c>
      <c r="B14" s="6" t="s">
        <v>87</v>
      </c>
      <c r="C14" s="6" t="s">
        <v>88</v>
      </c>
      <c r="D14" s="6" t="s">
        <v>147</v>
      </c>
      <c r="E14" s="6" t="s">
        <v>148</v>
      </c>
      <c r="F14" s="6" t="s">
        <v>412</v>
      </c>
      <c r="G14" s="6" t="s">
        <v>408</v>
      </c>
      <c r="H14" t="s">
        <v>90</v>
      </c>
      <c r="I14" t="s">
        <v>392</v>
      </c>
      <c r="J14" t="s">
        <v>392</v>
      </c>
      <c r="K14" s="5">
        <v>0</v>
      </c>
      <c r="L14" s="5">
        <v>0</v>
      </c>
      <c r="M14" s="5">
        <v>0</v>
      </c>
      <c r="N14" s="4">
        <f t="shared" si="0"/>
        <v>0</v>
      </c>
    </row>
    <row r="15" spans="1:14">
      <c r="A15" s="6" t="s">
        <v>413</v>
      </c>
      <c r="B15" s="6" t="s">
        <v>87</v>
      </c>
      <c r="C15" s="6" t="s">
        <v>88</v>
      </c>
      <c r="D15" s="6" t="s">
        <v>147</v>
      </c>
      <c r="E15" s="6" t="s">
        <v>148</v>
      </c>
      <c r="F15" s="6" t="s">
        <v>414</v>
      </c>
      <c r="G15" s="6" t="s">
        <v>408</v>
      </c>
      <c r="H15" t="s">
        <v>90</v>
      </c>
      <c r="I15" t="s">
        <v>392</v>
      </c>
      <c r="J15" t="s">
        <v>392</v>
      </c>
      <c r="K15" s="5">
        <v>0</v>
      </c>
      <c r="L15" s="5">
        <v>0</v>
      </c>
      <c r="M15" s="5">
        <v>0</v>
      </c>
      <c r="N15" s="4">
        <f t="shared" si="0"/>
        <v>0</v>
      </c>
    </row>
    <row r="16" spans="1:14">
      <c r="A16" s="6" t="s">
        <v>415</v>
      </c>
      <c r="B16" s="6" t="s">
        <v>87</v>
      </c>
      <c r="C16" s="6" t="s">
        <v>88</v>
      </c>
      <c r="D16" s="6" t="s">
        <v>147</v>
      </c>
      <c r="E16" s="6" t="s">
        <v>148</v>
      </c>
      <c r="F16" s="6" t="s">
        <v>416</v>
      </c>
      <c r="G16" s="6" t="s">
        <v>408</v>
      </c>
      <c r="H16" t="s">
        <v>90</v>
      </c>
      <c r="I16" t="s">
        <v>392</v>
      </c>
      <c r="J16" t="s">
        <v>392</v>
      </c>
      <c r="K16" s="5">
        <v>0</v>
      </c>
      <c r="L16" s="5">
        <v>0</v>
      </c>
      <c r="M16" s="5">
        <v>0</v>
      </c>
      <c r="N16" s="4">
        <f t="shared" si="0"/>
        <v>0</v>
      </c>
    </row>
    <row r="17" spans="1:14">
      <c r="A17" s="6" t="s">
        <v>417</v>
      </c>
      <c r="B17" s="6" t="s">
        <v>87</v>
      </c>
      <c r="C17" s="6" t="s">
        <v>88</v>
      </c>
      <c r="D17" s="6" t="s">
        <v>150</v>
      </c>
      <c r="E17" s="6" t="s">
        <v>151</v>
      </c>
      <c r="F17" s="6" t="s">
        <v>418</v>
      </c>
      <c r="G17" s="6" t="s">
        <v>419</v>
      </c>
      <c r="H17" t="s">
        <v>90</v>
      </c>
      <c r="I17" t="s">
        <v>392</v>
      </c>
      <c r="J17" t="s">
        <v>392</v>
      </c>
      <c r="K17" s="5">
        <v>0</v>
      </c>
      <c r="L17" s="5">
        <v>0</v>
      </c>
      <c r="M17" s="5">
        <v>0</v>
      </c>
      <c r="N17" s="4">
        <f t="shared" si="0"/>
        <v>0</v>
      </c>
    </row>
    <row r="18" spans="1:14">
      <c r="A18" s="6" t="s">
        <v>420</v>
      </c>
      <c r="B18" s="6" t="s">
        <v>87</v>
      </c>
      <c r="C18" s="6" t="s">
        <v>88</v>
      </c>
      <c r="D18" s="6" t="s">
        <v>150</v>
      </c>
      <c r="E18" s="6" t="s">
        <v>151</v>
      </c>
      <c r="F18" s="6" t="s">
        <v>421</v>
      </c>
      <c r="G18" s="6" t="s">
        <v>419</v>
      </c>
      <c r="H18" t="s">
        <v>90</v>
      </c>
      <c r="I18" t="s">
        <v>392</v>
      </c>
      <c r="J18" t="s">
        <v>392</v>
      </c>
      <c r="K18" s="5">
        <v>0</v>
      </c>
      <c r="L18" s="5">
        <v>0</v>
      </c>
      <c r="M18" s="5">
        <v>0</v>
      </c>
      <c r="N18" s="4">
        <f t="shared" si="0"/>
        <v>0</v>
      </c>
    </row>
    <row r="19" spans="1:14">
      <c r="A19" s="6" t="s">
        <v>422</v>
      </c>
      <c r="B19" s="6" t="s">
        <v>87</v>
      </c>
      <c r="C19" s="6" t="s">
        <v>88</v>
      </c>
      <c r="D19" s="6" t="s">
        <v>150</v>
      </c>
      <c r="E19" s="6" t="s">
        <v>151</v>
      </c>
      <c r="F19" s="6" t="s">
        <v>423</v>
      </c>
      <c r="G19" s="6" t="s">
        <v>419</v>
      </c>
      <c r="H19" t="s">
        <v>90</v>
      </c>
      <c r="I19" t="s">
        <v>392</v>
      </c>
      <c r="J19" t="s">
        <v>392</v>
      </c>
      <c r="K19" s="5">
        <v>0</v>
      </c>
      <c r="L19" s="5">
        <v>0</v>
      </c>
      <c r="M19" s="5">
        <v>0</v>
      </c>
      <c r="N19" s="4">
        <f t="shared" si="0"/>
        <v>0</v>
      </c>
    </row>
    <row r="20" spans="1:14">
      <c r="A20" s="6" t="s">
        <v>424</v>
      </c>
      <c r="B20" s="6" t="s">
        <v>87</v>
      </c>
      <c r="C20" s="6" t="s">
        <v>88</v>
      </c>
      <c r="D20" s="6" t="s">
        <v>153</v>
      </c>
      <c r="E20" s="6" t="s">
        <v>154</v>
      </c>
      <c r="F20" s="6" t="s">
        <v>425</v>
      </c>
      <c r="G20" s="6" t="s">
        <v>426</v>
      </c>
      <c r="H20" t="s">
        <v>90</v>
      </c>
      <c r="I20" t="s">
        <v>392</v>
      </c>
      <c r="J20" t="s">
        <v>392</v>
      </c>
      <c r="K20" s="5">
        <v>0</v>
      </c>
      <c r="L20" s="5">
        <v>0</v>
      </c>
      <c r="M20" s="5">
        <v>0</v>
      </c>
      <c r="N20" s="4">
        <f t="shared" si="0"/>
        <v>0</v>
      </c>
    </row>
    <row r="21" spans="1:14">
      <c r="A21" s="6" t="s">
        <v>427</v>
      </c>
      <c r="B21" s="6" t="s">
        <v>87</v>
      </c>
      <c r="C21" s="6" t="s">
        <v>88</v>
      </c>
      <c r="D21" s="6" t="s">
        <v>153</v>
      </c>
      <c r="E21" s="6" t="s">
        <v>154</v>
      </c>
      <c r="F21" s="6" t="s">
        <v>428</v>
      </c>
      <c r="G21" s="6" t="s">
        <v>426</v>
      </c>
      <c r="H21" t="s">
        <v>90</v>
      </c>
      <c r="I21" t="s">
        <v>392</v>
      </c>
      <c r="J21" t="s">
        <v>392</v>
      </c>
      <c r="K21" s="5">
        <v>0</v>
      </c>
      <c r="L21" s="5">
        <v>0</v>
      </c>
      <c r="M21" s="5">
        <v>0</v>
      </c>
      <c r="N21" s="4">
        <f t="shared" si="0"/>
        <v>0</v>
      </c>
    </row>
    <row r="22" spans="1:14">
      <c r="A22" s="6" t="s">
        <v>429</v>
      </c>
      <c r="B22" s="6" t="s">
        <v>87</v>
      </c>
      <c r="C22" s="6" t="s">
        <v>88</v>
      </c>
      <c r="D22" s="6" t="s">
        <v>153</v>
      </c>
      <c r="E22" s="6" t="s">
        <v>154</v>
      </c>
      <c r="F22" s="6" t="s">
        <v>430</v>
      </c>
      <c r="G22" s="6" t="s">
        <v>426</v>
      </c>
      <c r="H22" t="s">
        <v>90</v>
      </c>
      <c r="I22" t="s">
        <v>392</v>
      </c>
      <c r="J22" t="s">
        <v>392</v>
      </c>
      <c r="K22" s="5">
        <v>0</v>
      </c>
      <c r="L22" s="5">
        <v>0</v>
      </c>
      <c r="M22" s="5">
        <v>0</v>
      </c>
      <c r="N22" s="4">
        <f t="shared" si="0"/>
        <v>0</v>
      </c>
    </row>
    <row r="23" spans="1:14">
      <c r="A23" s="6" t="s">
        <v>431</v>
      </c>
      <c r="B23" s="6" t="s">
        <v>87</v>
      </c>
      <c r="C23" s="6" t="s">
        <v>88</v>
      </c>
      <c r="D23" s="6" t="s">
        <v>153</v>
      </c>
      <c r="E23" s="6" t="s">
        <v>154</v>
      </c>
      <c r="F23" s="6" t="s">
        <v>432</v>
      </c>
      <c r="G23" s="6" t="s">
        <v>426</v>
      </c>
      <c r="H23" t="s">
        <v>90</v>
      </c>
      <c r="I23" t="s">
        <v>392</v>
      </c>
      <c r="J23" t="s">
        <v>392</v>
      </c>
      <c r="K23" s="5">
        <v>0</v>
      </c>
      <c r="L23" s="5">
        <v>0</v>
      </c>
      <c r="M23" s="5">
        <v>0</v>
      </c>
      <c r="N23" s="4">
        <f t="shared" si="0"/>
        <v>0</v>
      </c>
    </row>
    <row r="24" spans="1:14">
      <c r="A24" s="6" t="s">
        <v>433</v>
      </c>
      <c r="B24" s="6" t="s">
        <v>87</v>
      </c>
      <c r="C24" s="6" t="s">
        <v>88</v>
      </c>
      <c r="D24" s="6" t="s">
        <v>156</v>
      </c>
      <c r="E24" s="6" t="s">
        <v>157</v>
      </c>
      <c r="F24" s="6" t="s">
        <v>434</v>
      </c>
      <c r="G24" s="6" t="s">
        <v>435</v>
      </c>
      <c r="H24" t="s">
        <v>90</v>
      </c>
      <c r="I24" t="s">
        <v>392</v>
      </c>
      <c r="J24" t="s">
        <v>392</v>
      </c>
      <c r="K24" s="5">
        <v>0</v>
      </c>
      <c r="L24" s="5">
        <v>0</v>
      </c>
      <c r="M24" s="5">
        <v>0</v>
      </c>
      <c r="N24" s="4">
        <f t="shared" si="0"/>
        <v>0</v>
      </c>
    </row>
    <row r="25" spans="1:14">
      <c r="A25" s="6" t="s">
        <v>436</v>
      </c>
      <c r="B25" s="6" t="s">
        <v>87</v>
      </c>
      <c r="C25" s="6" t="s">
        <v>88</v>
      </c>
      <c r="D25" s="6" t="s">
        <v>156</v>
      </c>
      <c r="E25" s="6" t="s">
        <v>157</v>
      </c>
      <c r="F25" s="6" t="s">
        <v>437</v>
      </c>
      <c r="G25" s="6" t="s">
        <v>435</v>
      </c>
      <c r="H25" t="s">
        <v>90</v>
      </c>
      <c r="I25" t="s">
        <v>392</v>
      </c>
      <c r="J25" t="s">
        <v>392</v>
      </c>
      <c r="K25" s="5">
        <v>0</v>
      </c>
      <c r="L25" s="5">
        <v>0</v>
      </c>
      <c r="M25" s="5">
        <v>0</v>
      </c>
      <c r="N25" s="4">
        <f t="shared" si="0"/>
        <v>0</v>
      </c>
    </row>
    <row r="26" spans="1:14">
      <c r="A26" s="6" t="s">
        <v>438</v>
      </c>
      <c r="B26" s="6" t="s">
        <v>87</v>
      </c>
      <c r="C26" s="6" t="s">
        <v>88</v>
      </c>
      <c r="D26" s="6" t="s">
        <v>156</v>
      </c>
      <c r="E26" s="6" t="s">
        <v>157</v>
      </c>
      <c r="F26" s="6" t="s">
        <v>439</v>
      </c>
      <c r="G26" s="6" t="s">
        <v>435</v>
      </c>
      <c r="H26" t="s">
        <v>90</v>
      </c>
      <c r="I26" t="s">
        <v>392</v>
      </c>
      <c r="J26" t="s">
        <v>392</v>
      </c>
      <c r="K26" s="5">
        <v>0</v>
      </c>
      <c r="L26" s="5">
        <v>0</v>
      </c>
      <c r="M26" s="5">
        <v>0</v>
      </c>
      <c r="N26" s="4">
        <f t="shared" si="0"/>
        <v>0</v>
      </c>
    </row>
    <row r="27" spans="1:14">
      <c r="A27" s="6" t="s">
        <v>440</v>
      </c>
      <c r="B27" s="6" t="s">
        <v>87</v>
      </c>
      <c r="C27" s="6" t="s">
        <v>88</v>
      </c>
      <c r="D27" s="6" t="s">
        <v>159</v>
      </c>
      <c r="E27" s="6" t="s">
        <v>160</v>
      </c>
      <c r="F27" s="6" t="s">
        <v>441</v>
      </c>
      <c r="G27" s="6" t="s">
        <v>442</v>
      </c>
      <c r="H27" t="s">
        <v>90</v>
      </c>
      <c r="I27" t="s">
        <v>392</v>
      </c>
      <c r="J27" t="s">
        <v>392</v>
      </c>
      <c r="K27" s="5">
        <v>0</v>
      </c>
      <c r="L27" s="5">
        <v>0</v>
      </c>
      <c r="M27" s="5">
        <v>0</v>
      </c>
      <c r="N27" s="4">
        <f t="shared" si="0"/>
        <v>0</v>
      </c>
    </row>
    <row r="28" spans="1:14">
      <c r="A28" s="6" t="s">
        <v>443</v>
      </c>
      <c r="B28" s="6" t="s">
        <v>87</v>
      </c>
      <c r="C28" s="6" t="s">
        <v>88</v>
      </c>
      <c r="D28" s="6" t="s">
        <v>159</v>
      </c>
      <c r="E28" s="6" t="s">
        <v>160</v>
      </c>
      <c r="F28" s="6" t="s">
        <v>444</v>
      </c>
      <c r="G28" s="6" t="s">
        <v>442</v>
      </c>
      <c r="H28" t="s">
        <v>90</v>
      </c>
      <c r="I28" t="s">
        <v>392</v>
      </c>
      <c r="J28" t="s">
        <v>392</v>
      </c>
      <c r="K28" s="5">
        <v>0</v>
      </c>
      <c r="L28" s="5">
        <v>0</v>
      </c>
      <c r="M28" s="5">
        <v>0</v>
      </c>
      <c r="N28" s="4">
        <f t="shared" si="0"/>
        <v>0</v>
      </c>
    </row>
    <row r="29" spans="1:14">
      <c r="A29" s="6" t="s">
        <v>445</v>
      </c>
      <c r="B29" s="6" t="s">
        <v>87</v>
      </c>
      <c r="C29" s="6" t="s">
        <v>88</v>
      </c>
      <c r="D29" s="6" t="s">
        <v>159</v>
      </c>
      <c r="E29" s="6" t="s">
        <v>160</v>
      </c>
      <c r="F29" s="6" t="s">
        <v>446</v>
      </c>
      <c r="G29" s="6" t="s">
        <v>442</v>
      </c>
      <c r="H29" t="s">
        <v>90</v>
      </c>
      <c r="I29" t="s">
        <v>392</v>
      </c>
      <c r="J29" t="s">
        <v>392</v>
      </c>
      <c r="K29" s="5">
        <v>0</v>
      </c>
      <c r="L29" s="5">
        <v>0</v>
      </c>
      <c r="M29" s="5">
        <v>0</v>
      </c>
      <c r="N29" s="4">
        <f t="shared" si="0"/>
        <v>0</v>
      </c>
    </row>
    <row r="30" spans="1:14">
      <c r="A30" s="6" t="s">
        <v>447</v>
      </c>
      <c r="B30" s="6" t="s">
        <v>87</v>
      </c>
      <c r="C30" s="6" t="s">
        <v>88</v>
      </c>
      <c r="D30" s="6" t="s">
        <v>159</v>
      </c>
      <c r="E30" s="6" t="s">
        <v>160</v>
      </c>
      <c r="F30" s="6" t="s">
        <v>448</v>
      </c>
      <c r="G30" s="6" t="s">
        <v>442</v>
      </c>
      <c r="H30" t="s">
        <v>90</v>
      </c>
      <c r="I30" t="s">
        <v>392</v>
      </c>
      <c r="J30" t="s">
        <v>392</v>
      </c>
      <c r="K30" s="5">
        <v>0</v>
      </c>
      <c r="L30" s="5">
        <v>0</v>
      </c>
      <c r="M30" s="5">
        <v>0</v>
      </c>
      <c r="N30" s="4">
        <f t="shared" si="0"/>
        <v>0</v>
      </c>
    </row>
    <row r="31" spans="1:14">
      <c r="A31" s="6" t="s">
        <v>449</v>
      </c>
      <c r="B31" s="6" t="s">
        <v>87</v>
      </c>
      <c r="C31" s="6" t="s">
        <v>88</v>
      </c>
      <c r="D31" s="6" t="s">
        <v>162</v>
      </c>
      <c r="E31" s="6" t="s">
        <v>163</v>
      </c>
      <c r="F31" s="6" t="s">
        <v>450</v>
      </c>
      <c r="G31" s="6" t="s">
        <v>451</v>
      </c>
      <c r="H31" t="s">
        <v>90</v>
      </c>
      <c r="I31" t="s">
        <v>392</v>
      </c>
      <c r="J31" t="s">
        <v>392</v>
      </c>
      <c r="K31" s="5">
        <v>0</v>
      </c>
      <c r="L31" s="5">
        <v>0</v>
      </c>
      <c r="M31" s="5">
        <v>0</v>
      </c>
      <c r="N31" s="4">
        <f t="shared" si="0"/>
        <v>0</v>
      </c>
    </row>
    <row r="32" spans="1:14">
      <c r="A32" s="6" t="s">
        <v>452</v>
      </c>
      <c r="B32" s="6" t="s">
        <v>87</v>
      </c>
      <c r="C32" s="6" t="s">
        <v>88</v>
      </c>
      <c r="D32" s="6" t="s">
        <v>162</v>
      </c>
      <c r="E32" s="6" t="s">
        <v>163</v>
      </c>
      <c r="F32" s="6" t="s">
        <v>453</v>
      </c>
      <c r="G32" s="6" t="s">
        <v>451</v>
      </c>
      <c r="H32" t="s">
        <v>90</v>
      </c>
      <c r="I32" t="s">
        <v>392</v>
      </c>
      <c r="J32" t="s">
        <v>392</v>
      </c>
      <c r="K32" s="5">
        <v>0</v>
      </c>
      <c r="L32" s="5">
        <v>0</v>
      </c>
      <c r="M32" s="5">
        <v>0</v>
      </c>
      <c r="N32" s="4">
        <f t="shared" si="0"/>
        <v>0</v>
      </c>
    </row>
    <row r="33" spans="1:14">
      <c r="A33" s="6" t="s">
        <v>454</v>
      </c>
      <c r="B33" s="6" t="s">
        <v>87</v>
      </c>
      <c r="C33" s="6" t="s">
        <v>88</v>
      </c>
      <c r="D33" s="6" t="s">
        <v>162</v>
      </c>
      <c r="E33" s="6" t="s">
        <v>163</v>
      </c>
      <c r="F33" s="6" t="s">
        <v>455</v>
      </c>
      <c r="G33" s="6" t="s">
        <v>451</v>
      </c>
      <c r="H33" t="s">
        <v>90</v>
      </c>
      <c r="I33" t="s">
        <v>392</v>
      </c>
      <c r="J33" t="s">
        <v>392</v>
      </c>
      <c r="K33" s="5">
        <v>0</v>
      </c>
      <c r="L33" s="5">
        <v>0</v>
      </c>
      <c r="M33" s="5">
        <v>0</v>
      </c>
      <c r="N33" s="4">
        <f t="shared" si="0"/>
        <v>0</v>
      </c>
    </row>
    <row r="34" spans="1:14">
      <c r="A34" s="6" t="s">
        <v>456</v>
      </c>
      <c r="B34" s="6" t="s">
        <v>87</v>
      </c>
      <c r="C34" s="6" t="s">
        <v>88</v>
      </c>
      <c r="D34" s="6" t="s">
        <v>162</v>
      </c>
      <c r="E34" s="6" t="s">
        <v>163</v>
      </c>
      <c r="F34" s="6" t="s">
        <v>457</v>
      </c>
      <c r="G34" s="6" t="s">
        <v>451</v>
      </c>
      <c r="H34" t="s">
        <v>90</v>
      </c>
      <c r="I34" t="s">
        <v>392</v>
      </c>
      <c r="J34" t="s">
        <v>392</v>
      </c>
      <c r="K34" s="5">
        <v>0</v>
      </c>
      <c r="L34" s="5">
        <v>0</v>
      </c>
      <c r="M34" s="5">
        <v>0</v>
      </c>
      <c r="N34" s="4">
        <f t="shared" si="0"/>
        <v>0</v>
      </c>
    </row>
    <row r="35" spans="1:14">
      <c r="A35" s="6" t="s">
        <v>458</v>
      </c>
      <c r="B35" s="6" t="s">
        <v>87</v>
      </c>
      <c r="C35" s="6" t="s">
        <v>88</v>
      </c>
      <c r="D35" s="6" t="s">
        <v>162</v>
      </c>
      <c r="E35" s="6" t="s">
        <v>163</v>
      </c>
      <c r="F35" s="6" t="s">
        <v>459</v>
      </c>
      <c r="G35" s="6" t="s">
        <v>451</v>
      </c>
      <c r="H35" t="s">
        <v>90</v>
      </c>
      <c r="I35" t="s">
        <v>392</v>
      </c>
      <c r="J35" t="s">
        <v>392</v>
      </c>
      <c r="K35" s="5">
        <v>0</v>
      </c>
      <c r="L35" s="5">
        <v>0</v>
      </c>
      <c r="M35" s="5">
        <v>0</v>
      </c>
      <c r="N35" s="4">
        <f t="shared" si="0"/>
        <v>0</v>
      </c>
    </row>
    <row r="36" spans="1:14">
      <c r="A36" s="6" t="s">
        <v>460</v>
      </c>
      <c r="B36" s="6" t="s">
        <v>87</v>
      </c>
      <c r="C36" s="6" t="s">
        <v>88</v>
      </c>
      <c r="D36" s="6" t="s">
        <v>162</v>
      </c>
      <c r="E36" s="6" t="s">
        <v>163</v>
      </c>
      <c r="F36" s="6" t="s">
        <v>461</v>
      </c>
      <c r="G36" s="6" t="s">
        <v>451</v>
      </c>
      <c r="H36" t="s">
        <v>90</v>
      </c>
      <c r="I36" t="s">
        <v>392</v>
      </c>
      <c r="J36" t="s">
        <v>392</v>
      </c>
      <c r="K36" s="5">
        <v>0</v>
      </c>
      <c r="L36" s="5">
        <v>0</v>
      </c>
      <c r="M36" s="5">
        <v>0</v>
      </c>
      <c r="N36" s="4">
        <f t="shared" si="0"/>
        <v>0</v>
      </c>
    </row>
    <row r="37" spans="1:14">
      <c r="A37" s="6" t="s">
        <v>462</v>
      </c>
      <c r="B37" s="6" t="s">
        <v>91</v>
      </c>
      <c r="C37" s="6" t="s">
        <v>92</v>
      </c>
      <c r="D37" s="6" t="s">
        <v>165</v>
      </c>
      <c r="E37" s="6" t="s">
        <v>166</v>
      </c>
      <c r="F37" s="6" t="s">
        <v>463</v>
      </c>
      <c r="G37" s="6" t="s">
        <v>464</v>
      </c>
      <c r="H37" t="s">
        <v>90</v>
      </c>
      <c r="I37" t="s">
        <v>392</v>
      </c>
      <c r="J37" t="s">
        <v>392</v>
      </c>
      <c r="K37" s="5">
        <v>0</v>
      </c>
      <c r="L37" s="5">
        <v>0</v>
      </c>
      <c r="M37" s="5">
        <v>0</v>
      </c>
      <c r="N37" s="4">
        <f t="shared" si="0"/>
        <v>0</v>
      </c>
    </row>
    <row r="38" spans="1:14">
      <c r="A38" s="6" t="s">
        <v>465</v>
      </c>
      <c r="B38" s="6" t="s">
        <v>91</v>
      </c>
      <c r="C38" s="6" t="s">
        <v>92</v>
      </c>
      <c r="D38" s="6" t="s">
        <v>165</v>
      </c>
      <c r="E38" s="6" t="s">
        <v>166</v>
      </c>
      <c r="F38" s="6" t="s">
        <v>466</v>
      </c>
      <c r="G38" s="6" t="s">
        <v>464</v>
      </c>
      <c r="H38" t="s">
        <v>90</v>
      </c>
      <c r="I38" t="s">
        <v>392</v>
      </c>
      <c r="J38" t="s">
        <v>392</v>
      </c>
      <c r="K38" s="5">
        <v>0</v>
      </c>
      <c r="L38" s="5">
        <v>0</v>
      </c>
      <c r="M38" s="5">
        <v>0</v>
      </c>
      <c r="N38" s="4">
        <f t="shared" si="0"/>
        <v>0</v>
      </c>
    </row>
    <row r="39" spans="1:14">
      <c r="A39" s="6" t="s">
        <v>467</v>
      </c>
      <c r="B39" s="6" t="s">
        <v>91</v>
      </c>
      <c r="C39" s="6" t="s">
        <v>92</v>
      </c>
      <c r="D39" s="6" t="s">
        <v>168</v>
      </c>
      <c r="E39" s="6" t="s">
        <v>169</v>
      </c>
      <c r="F39" s="6" t="s">
        <v>468</v>
      </c>
      <c r="G39" s="6" t="s">
        <v>469</v>
      </c>
      <c r="H39" t="s">
        <v>90</v>
      </c>
      <c r="I39" t="s">
        <v>392</v>
      </c>
      <c r="J39" t="s">
        <v>392</v>
      </c>
      <c r="K39" s="5">
        <v>0</v>
      </c>
      <c r="L39" s="5">
        <v>0</v>
      </c>
      <c r="M39" s="5">
        <v>0</v>
      </c>
      <c r="N39" s="4">
        <f t="shared" si="0"/>
        <v>0</v>
      </c>
    </row>
    <row r="40" spans="1:14">
      <c r="A40" s="6" t="s">
        <v>470</v>
      </c>
      <c r="B40" s="6" t="s">
        <v>91</v>
      </c>
      <c r="C40" s="6" t="s">
        <v>92</v>
      </c>
      <c r="D40" s="6" t="s">
        <v>168</v>
      </c>
      <c r="E40" s="6" t="s">
        <v>169</v>
      </c>
      <c r="F40" s="6" t="s">
        <v>471</v>
      </c>
      <c r="G40" s="6" t="s">
        <v>469</v>
      </c>
      <c r="H40" t="s">
        <v>90</v>
      </c>
      <c r="I40" t="s">
        <v>392</v>
      </c>
      <c r="J40" t="s">
        <v>392</v>
      </c>
      <c r="K40" s="5">
        <v>0</v>
      </c>
      <c r="L40" s="5">
        <v>0</v>
      </c>
      <c r="M40" s="5">
        <v>0</v>
      </c>
      <c r="N40" s="4">
        <f t="shared" si="0"/>
        <v>0</v>
      </c>
    </row>
    <row r="41" spans="1:14">
      <c r="A41" s="6" t="s">
        <v>472</v>
      </c>
      <c r="B41" s="6" t="s">
        <v>91</v>
      </c>
      <c r="C41" s="6" t="s">
        <v>92</v>
      </c>
      <c r="D41" s="6" t="s">
        <v>168</v>
      </c>
      <c r="E41" s="6" t="s">
        <v>169</v>
      </c>
      <c r="F41" s="6" t="s">
        <v>473</v>
      </c>
      <c r="G41" s="6" t="s">
        <v>469</v>
      </c>
      <c r="H41" t="s">
        <v>90</v>
      </c>
      <c r="I41" t="s">
        <v>392</v>
      </c>
      <c r="J41" t="s">
        <v>392</v>
      </c>
      <c r="K41" s="5">
        <v>0</v>
      </c>
      <c r="L41" s="5">
        <v>0</v>
      </c>
      <c r="M41" s="5">
        <v>0</v>
      </c>
      <c r="N41" s="4">
        <f t="shared" si="0"/>
        <v>0</v>
      </c>
    </row>
    <row r="42" spans="1:14">
      <c r="A42" s="6" t="s">
        <v>474</v>
      </c>
      <c r="B42" s="6" t="s">
        <v>91</v>
      </c>
      <c r="C42" s="6" t="s">
        <v>92</v>
      </c>
      <c r="D42" s="6" t="s">
        <v>168</v>
      </c>
      <c r="E42" s="6" t="s">
        <v>169</v>
      </c>
      <c r="F42" s="6" t="s">
        <v>475</v>
      </c>
      <c r="G42" s="6" t="s">
        <v>469</v>
      </c>
      <c r="H42" t="s">
        <v>90</v>
      </c>
      <c r="I42" t="s">
        <v>392</v>
      </c>
      <c r="J42" t="s">
        <v>392</v>
      </c>
      <c r="K42" s="5">
        <v>0</v>
      </c>
      <c r="L42" s="5">
        <v>0</v>
      </c>
      <c r="M42" s="5">
        <v>0</v>
      </c>
      <c r="N42" s="4">
        <f t="shared" si="0"/>
        <v>0</v>
      </c>
    </row>
    <row r="43" spans="1:14">
      <c r="A43" s="6" t="s">
        <v>476</v>
      </c>
      <c r="B43" s="6" t="s">
        <v>91</v>
      </c>
      <c r="C43" s="6" t="s">
        <v>92</v>
      </c>
      <c r="D43" s="6" t="s">
        <v>168</v>
      </c>
      <c r="E43" s="6" t="s">
        <v>169</v>
      </c>
      <c r="F43" s="6" t="s">
        <v>477</v>
      </c>
      <c r="G43" s="6" t="s">
        <v>469</v>
      </c>
      <c r="H43" t="s">
        <v>90</v>
      </c>
      <c r="I43" t="s">
        <v>392</v>
      </c>
      <c r="J43" t="s">
        <v>392</v>
      </c>
      <c r="K43" s="5">
        <v>0</v>
      </c>
      <c r="L43" s="5">
        <v>0</v>
      </c>
      <c r="M43" s="5">
        <v>0</v>
      </c>
      <c r="N43" s="4">
        <f t="shared" si="0"/>
        <v>0</v>
      </c>
    </row>
    <row r="44" spans="1:14">
      <c r="A44" s="6" t="s">
        <v>478</v>
      </c>
      <c r="B44" s="6" t="s">
        <v>91</v>
      </c>
      <c r="C44" s="6" t="s">
        <v>92</v>
      </c>
      <c r="D44" s="6" t="s">
        <v>168</v>
      </c>
      <c r="E44" s="6" t="s">
        <v>169</v>
      </c>
      <c r="F44" s="6" t="s">
        <v>479</v>
      </c>
      <c r="G44" s="6" t="s">
        <v>469</v>
      </c>
      <c r="H44" t="s">
        <v>90</v>
      </c>
      <c r="I44" t="s">
        <v>392</v>
      </c>
      <c r="J44" t="s">
        <v>392</v>
      </c>
      <c r="K44" s="5">
        <v>0</v>
      </c>
      <c r="L44" s="5">
        <v>0</v>
      </c>
      <c r="M44" s="5">
        <v>0</v>
      </c>
      <c r="N44" s="4">
        <f t="shared" si="0"/>
        <v>0</v>
      </c>
    </row>
    <row r="45" spans="1:14">
      <c r="A45" s="6" t="s">
        <v>480</v>
      </c>
      <c r="B45" s="6" t="s">
        <v>91</v>
      </c>
      <c r="C45" s="6" t="s">
        <v>92</v>
      </c>
      <c r="D45" s="6" t="s">
        <v>171</v>
      </c>
      <c r="E45" s="6" t="s">
        <v>172</v>
      </c>
      <c r="F45" s="6" t="s">
        <v>481</v>
      </c>
      <c r="G45" s="6" t="s">
        <v>482</v>
      </c>
      <c r="H45" t="s">
        <v>90</v>
      </c>
      <c r="I45" t="s">
        <v>392</v>
      </c>
      <c r="J45" t="s">
        <v>392</v>
      </c>
      <c r="K45" s="5">
        <v>0</v>
      </c>
      <c r="L45" s="5">
        <v>0</v>
      </c>
      <c r="M45" s="5">
        <v>0</v>
      </c>
      <c r="N45" s="4">
        <f t="shared" si="0"/>
        <v>0</v>
      </c>
    </row>
    <row r="46" spans="1:14">
      <c r="A46" s="6" t="s">
        <v>483</v>
      </c>
      <c r="B46" s="6" t="s">
        <v>91</v>
      </c>
      <c r="C46" s="6" t="s">
        <v>92</v>
      </c>
      <c r="D46" s="6" t="s">
        <v>171</v>
      </c>
      <c r="E46" s="6" t="s">
        <v>172</v>
      </c>
      <c r="F46" s="6" t="s">
        <v>484</v>
      </c>
      <c r="G46" s="6" t="s">
        <v>482</v>
      </c>
      <c r="H46" t="s">
        <v>90</v>
      </c>
      <c r="I46" t="s">
        <v>392</v>
      </c>
      <c r="J46" t="s">
        <v>392</v>
      </c>
      <c r="K46" s="5">
        <v>0</v>
      </c>
      <c r="L46" s="5">
        <v>0</v>
      </c>
      <c r="M46" s="5">
        <v>0</v>
      </c>
      <c r="N46" s="4">
        <f t="shared" si="0"/>
        <v>0</v>
      </c>
    </row>
    <row r="47" spans="1:14">
      <c r="A47" s="6" t="s">
        <v>485</v>
      </c>
      <c r="B47" s="6" t="s">
        <v>91</v>
      </c>
      <c r="C47" s="6" t="s">
        <v>92</v>
      </c>
      <c r="D47" s="6" t="s">
        <v>171</v>
      </c>
      <c r="E47" s="6" t="s">
        <v>172</v>
      </c>
      <c r="F47" s="6" t="s">
        <v>486</v>
      </c>
      <c r="G47" s="6" t="s">
        <v>482</v>
      </c>
      <c r="H47" t="s">
        <v>90</v>
      </c>
      <c r="I47" t="s">
        <v>392</v>
      </c>
      <c r="J47" t="s">
        <v>392</v>
      </c>
      <c r="K47" s="5">
        <v>0</v>
      </c>
      <c r="L47" s="5">
        <v>0</v>
      </c>
      <c r="M47" s="5">
        <v>0</v>
      </c>
      <c r="N47" s="4">
        <f t="shared" si="0"/>
        <v>0</v>
      </c>
    </row>
    <row r="48" spans="1:14">
      <c r="A48" s="6" t="s">
        <v>487</v>
      </c>
      <c r="B48" s="6" t="s">
        <v>91</v>
      </c>
      <c r="C48" s="6" t="s">
        <v>92</v>
      </c>
      <c r="D48" s="6" t="s">
        <v>174</v>
      </c>
      <c r="E48" s="6" t="s">
        <v>175</v>
      </c>
      <c r="F48" s="6" t="s">
        <v>488</v>
      </c>
      <c r="G48" s="6" t="s">
        <v>489</v>
      </c>
      <c r="H48" t="s">
        <v>90</v>
      </c>
      <c r="I48" t="s">
        <v>392</v>
      </c>
      <c r="J48" t="s">
        <v>392</v>
      </c>
      <c r="K48" s="5">
        <v>0</v>
      </c>
      <c r="L48" s="5">
        <v>0</v>
      </c>
      <c r="M48" s="5">
        <v>0</v>
      </c>
      <c r="N48" s="4">
        <f t="shared" si="0"/>
        <v>0</v>
      </c>
    </row>
    <row r="49" spans="1:14">
      <c r="A49" s="6" t="s">
        <v>490</v>
      </c>
      <c r="B49" s="6" t="s">
        <v>91</v>
      </c>
      <c r="C49" s="6" t="s">
        <v>92</v>
      </c>
      <c r="D49" s="6" t="s">
        <v>174</v>
      </c>
      <c r="E49" s="6" t="s">
        <v>175</v>
      </c>
      <c r="F49" s="6" t="s">
        <v>491</v>
      </c>
      <c r="G49" s="6" t="s">
        <v>489</v>
      </c>
      <c r="H49" t="s">
        <v>90</v>
      </c>
      <c r="I49" t="s">
        <v>392</v>
      </c>
      <c r="J49" t="s">
        <v>392</v>
      </c>
      <c r="K49" s="5">
        <v>0</v>
      </c>
      <c r="L49" s="5">
        <v>0</v>
      </c>
      <c r="M49" s="5">
        <v>0</v>
      </c>
      <c r="N49" s="4">
        <f t="shared" si="0"/>
        <v>0</v>
      </c>
    </row>
    <row r="50" spans="1:14">
      <c r="A50" s="6" t="s">
        <v>492</v>
      </c>
      <c r="B50" s="6" t="s">
        <v>91</v>
      </c>
      <c r="C50" s="6" t="s">
        <v>92</v>
      </c>
      <c r="D50" s="6" t="s">
        <v>174</v>
      </c>
      <c r="E50" s="6" t="s">
        <v>175</v>
      </c>
      <c r="F50" s="6" t="s">
        <v>493</v>
      </c>
      <c r="G50" s="6" t="s">
        <v>489</v>
      </c>
      <c r="H50" t="s">
        <v>90</v>
      </c>
      <c r="I50" t="s">
        <v>392</v>
      </c>
      <c r="J50" t="s">
        <v>392</v>
      </c>
      <c r="K50" s="5">
        <v>0</v>
      </c>
      <c r="L50" s="5">
        <v>0</v>
      </c>
      <c r="M50" s="5">
        <v>0</v>
      </c>
      <c r="N50" s="4">
        <f t="shared" si="0"/>
        <v>0</v>
      </c>
    </row>
    <row r="51" spans="1:14">
      <c r="A51" s="6" t="s">
        <v>494</v>
      </c>
      <c r="B51" s="6" t="s">
        <v>91</v>
      </c>
      <c r="C51" s="6" t="s">
        <v>92</v>
      </c>
      <c r="D51" s="6" t="s">
        <v>174</v>
      </c>
      <c r="E51" s="6" t="s">
        <v>175</v>
      </c>
      <c r="F51" s="6" t="s">
        <v>495</v>
      </c>
      <c r="G51" s="6" t="s">
        <v>489</v>
      </c>
      <c r="H51" t="s">
        <v>90</v>
      </c>
      <c r="I51" t="s">
        <v>392</v>
      </c>
      <c r="J51" t="s">
        <v>392</v>
      </c>
      <c r="K51" s="5">
        <v>0</v>
      </c>
      <c r="L51" s="5">
        <v>0</v>
      </c>
      <c r="M51" s="5">
        <v>0</v>
      </c>
      <c r="N51" s="4">
        <f t="shared" si="0"/>
        <v>0</v>
      </c>
    </row>
    <row r="52" spans="1:14">
      <c r="A52" s="6" t="s">
        <v>496</v>
      </c>
      <c r="B52" s="6" t="s">
        <v>96</v>
      </c>
      <c r="C52" s="6" t="s">
        <v>97</v>
      </c>
      <c r="D52" s="6" t="s">
        <v>177</v>
      </c>
      <c r="E52" s="6" t="s">
        <v>178</v>
      </c>
      <c r="F52" s="6" t="s">
        <v>497</v>
      </c>
      <c r="G52" s="6" t="s">
        <v>498</v>
      </c>
      <c r="H52" t="s">
        <v>90</v>
      </c>
      <c r="I52" t="s">
        <v>392</v>
      </c>
      <c r="J52" t="s">
        <v>392</v>
      </c>
      <c r="K52" s="5">
        <v>0</v>
      </c>
      <c r="L52" s="5">
        <v>0</v>
      </c>
      <c r="M52" s="5">
        <v>0</v>
      </c>
      <c r="N52" s="4">
        <f t="shared" si="0"/>
        <v>0</v>
      </c>
    </row>
    <row r="53" spans="1:14">
      <c r="A53" s="6" t="s">
        <v>499</v>
      </c>
      <c r="B53" s="6" t="s">
        <v>96</v>
      </c>
      <c r="C53" s="6" t="s">
        <v>97</v>
      </c>
      <c r="D53" s="6" t="s">
        <v>177</v>
      </c>
      <c r="E53" s="6" t="s">
        <v>178</v>
      </c>
      <c r="F53" s="6" t="s">
        <v>500</v>
      </c>
      <c r="G53" s="6" t="s">
        <v>498</v>
      </c>
      <c r="H53" t="s">
        <v>90</v>
      </c>
      <c r="I53" t="s">
        <v>392</v>
      </c>
      <c r="J53" t="s">
        <v>392</v>
      </c>
      <c r="K53" s="5">
        <v>0</v>
      </c>
      <c r="L53" s="5">
        <v>0</v>
      </c>
      <c r="M53" s="5">
        <v>0</v>
      </c>
      <c r="N53" s="4">
        <f t="shared" si="0"/>
        <v>0</v>
      </c>
    </row>
    <row r="54" spans="1:14">
      <c r="A54" s="6" t="s">
        <v>501</v>
      </c>
      <c r="B54" s="6" t="s">
        <v>96</v>
      </c>
      <c r="C54" s="6" t="s">
        <v>97</v>
      </c>
      <c r="D54" s="6" t="s">
        <v>180</v>
      </c>
      <c r="E54" s="6" t="s">
        <v>181</v>
      </c>
      <c r="F54" s="6" t="s">
        <v>502</v>
      </c>
      <c r="G54" s="6" t="s">
        <v>503</v>
      </c>
      <c r="H54" t="s">
        <v>90</v>
      </c>
      <c r="I54" t="s">
        <v>392</v>
      </c>
      <c r="J54" t="s">
        <v>392</v>
      </c>
      <c r="K54" s="5">
        <v>0</v>
      </c>
      <c r="L54" s="5">
        <v>0</v>
      </c>
      <c r="M54" s="5">
        <v>0</v>
      </c>
      <c r="N54" s="4">
        <f t="shared" si="0"/>
        <v>0</v>
      </c>
    </row>
    <row r="55" spans="1:14">
      <c r="A55" s="6" t="s">
        <v>504</v>
      </c>
      <c r="B55" s="6" t="s">
        <v>96</v>
      </c>
      <c r="C55" s="6" t="s">
        <v>97</v>
      </c>
      <c r="D55" s="6" t="s">
        <v>180</v>
      </c>
      <c r="E55" s="6" t="s">
        <v>181</v>
      </c>
      <c r="F55" s="6" t="s">
        <v>505</v>
      </c>
      <c r="G55" s="6" t="s">
        <v>503</v>
      </c>
      <c r="H55" t="s">
        <v>90</v>
      </c>
      <c r="I55" t="s">
        <v>392</v>
      </c>
      <c r="J55" t="s">
        <v>392</v>
      </c>
      <c r="K55" s="5">
        <v>0</v>
      </c>
      <c r="L55" s="5">
        <v>0</v>
      </c>
      <c r="M55" s="5">
        <v>0</v>
      </c>
      <c r="N55" s="4">
        <f t="shared" si="0"/>
        <v>0</v>
      </c>
    </row>
    <row r="56" spans="1:14">
      <c r="A56" s="6" t="s">
        <v>506</v>
      </c>
      <c r="B56" s="6" t="s">
        <v>96</v>
      </c>
      <c r="C56" s="6" t="s">
        <v>97</v>
      </c>
      <c r="D56" s="6" t="s">
        <v>183</v>
      </c>
      <c r="E56" s="6" t="s">
        <v>184</v>
      </c>
      <c r="F56" s="6" t="s">
        <v>507</v>
      </c>
      <c r="G56" s="6" t="s">
        <v>508</v>
      </c>
      <c r="H56" t="s">
        <v>90</v>
      </c>
      <c r="I56" t="s">
        <v>392</v>
      </c>
      <c r="J56" t="s">
        <v>392</v>
      </c>
      <c r="K56" s="5">
        <v>0</v>
      </c>
      <c r="L56" s="5">
        <v>0</v>
      </c>
      <c r="M56" s="5">
        <v>0</v>
      </c>
      <c r="N56" s="4">
        <f t="shared" si="0"/>
        <v>0</v>
      </c>
    </row>
    <row r="57" spans="1:14">
      <c r="A57" s="6" t="s">
        <v>509</v>
      </c>
      <c r="B57" s="6" t="s">
        <v>96</v>
      </c>
      <c r="C57" s="6" t="s">
        <v>97</v>
      </c>
      <c r="D57" s="6" t="s">
        <v>183</v>
      </c>
      <c r="E57" s="6" t="s">
        <v>184</v>
      </c>
      <c r="F57" s="6" t="s">
        <v>510</v>
      </c>
      <c r="G57" s="6" t="s">
        <v>508</v>
      </c>
      <c r="H57" t="s">
        <v>90</v>
      </c>
      <c r="I57" t="s">
        <v>392</v>
      </c>
      <c r="J57" t="s">
        <v>392</v>
      </c>
      <c r="K57" s="5">
        <v>0</v>
      </c>
      <c r="L57" s="5">
        <v>0</v>
      </c>
      <c r="M57" s="5">
        <v>0</v>
      </c>
      <c r="N57" s="4">
        <f t="shared" si="0"/>
        <v>0</v>
      </c>
    </row>
    <row r="58" spans="1:14">
      <c r="A58" s="6" t="s">
        <v>511</v>
      </c>
      <c r="B58" s="6" t="s">
        <v>96</v>
      </c>
      <c r="C58" s="6" t="s">
        <v>97</v>
      </c>
      <c r="D58" s="6" t="s">
        <v>186</v>
      </c>
      <c r="E58" s="6" t="s">
        <v>187</v>
      </c>
      <c r="F58" s="6" t="s">
        <v>512</v>
      </c>
      <c r="G58" s="6" t="s">
        <v>513</v>
      </c>
      <c r="H58" t="s">
        <v>90</v>
      </c>
      <c r="I58" t="s">
        <v>392</v>
      </c>
      <c r="J58" t="s">
        <v>392</v>
      </c>
      <c r="K58" s="5">
        <v>0</v>
      </c>
      <c r="L58" s="5">
        <v>0</v>
      </c>
      <c r="M58" s="5">
        <v>0</v>
      </c>
      <c r="N58" s="4">
        <f t="shared" si="0"/>
        <v>0</v>
      </c>
    </row>
    <row r="59" spans="1:14">
      <c r="A59" s="6" t="s">
        <v>514</v>
      </c>
      <c r="B59" s="6" t="s">
        <v>96</v>
      </c>
      <c r="C59" s="6" t="s">
        <v>97</v>
      </c>
      <c r="D59" s="6" t="s">
        <v>186</v>
      </c>
      <c r="E59" s="6" t="s">
        <v>187</v>
      </c>
      <c r="F59" s="6" t="s">
        <v>515</v>
      </c>
      <c r="G59" s="6" t="s">
        <v>513</v>
      </c>
      <c r="H59" t="s">
        <v>90</v>
      </c>
      <c r="I59" t="s">
        <v>392</v>
      </c>
      <c r="J59" t="s">
        <v>392</v>
      </c>
      <c r="K59" s="5">
        <v>0</v>
      </c>
      <c r="L59" s="5">
        <v>0</v>
      </c>
      <c r="M59" s="5">
        <v>0</v>
      </c>
      <c r="N59" s="4">
        <f t="shared" si="0"/>
        <v>0</v>
      </c>
    </row>
    <row r="60" spans="1:14">
      <c r="A60" s="6" t="s">
        <v>516</v>
      </c>
      <c r="B60" s="6" t="s">
        <v>96</v>
      </c>
      <c r="C60" s="6" t="s">
        <v>97</v>
      </c>
      <c r="D60" s="6" t="s">
        <v>189</v>
      </c>
      <c r="E60" s="6" t="s">
        <v>190</v>
      </c>
      <c r="F60" s="6" t="s">
        <v>517</v>
      </c>
      <c r="G60" s="6" t="s">
        <v>518</v>
      </c>
      <c r="H60" t="s">
        <v>90</v>
      </c>
      <c r="I60" t="s">
        <v>392</v>
      </c>
      <c r="J60" t="s">
        <v>392</v>
      </c>
      <c r="K60" s="5">
        <v>0</v>
      </c>
      <c r="L60" s="5">
        <v>0</v>
      </c>
      <c r="M60" s="5">
        <v>0</v>
      </c>
      <c r="N60" s="4">
        <f t="shared" si="0"/>
        <v>0</v>
      </c>
    </row>
    <row r="61" spans="1:14">
      <c r="A61" s="6" t="s">
        <v>519</v>
      </c>
      <c r="B61" s="6" t="s">
        <v>96</v>
      </c>
      <c r="C61" s="6" t="s">
        <v>97</v>
      </c>
      <c r="D61" s="6" t="s">
        <v>189</v>
      </c>
      <c r="E61" s="6" t="s">
        <v>190</v>
      </c>
      <c r="F61" s="6" t="s">
        <v>520</v>
      </c>
      <c r="G61" s="6" t="s">
        <v>518</v>
      </c>
      <c r="H61" t="s">
        <v>90</v>
      </c>
      <c r="I61" t="s">
        <v>392</v>
      </c>
      <c r="J61" t="s">
        <v>392</v>
      </c>
      <c r="K61" s="5">
        <v>0</v>
      </c>
      <c r="L61" s="5">
        <v>0</v>
      </c>
      <c r="M61" s="5">
        <v>0</v>
      </c>
      <c r="N61" s="4">
        <f t="shared" si="0"/>
        <v>0</v>
      </c>
    </row>
    <row r="62" spans="1:14">
      <c r="A62" s="6" t="s">
        <v>521</v>
      </c>
      <c r="B62" s="6" t="s">
        <v>96</v>
      </c>
      <c r="C62" s="6" t="s">
        <v>97</v>
      </c>
      <c r="D62" s="6" t="s">
        <v>192</v>
      </c>
      <c r="E62" s="6" t="s">
        <v>193</v>
      </c>
      <c r="F62" s="6" t="s">
        <v>522</v>
      </c>
      <c r="G62" s="6" t="s">
        <v>523</v>
      </c>
      <c r="H62" t="s">
        <v>90</v>
      </c>
      <c r="I62" t="s">
        <v>392</v>
      </c>
      <c r="J62" t="s">
        <v>392</v>
      </c>
      <c r="K62" s="5">
        <v>0</v>
      </c>
      <c r="L62" s="5">
        <v>0</v>
      </c>
      <c r="M62" s="5">
        <v>0</v>
      </c>
      <c r="N62" s="4">
        <f t="shared" si="0"/>
        <v>0</v>
      </c>
    </row>
    <row r="63" spans="1:14">
      <c r="A63" s="6" t="s">
        <v>524</v>
      </c>
      <c r="B63" s="6" t="s">
        <v>96</v>
      </c>
      <c r="C63" s="6" t="s">
        <v>97</v>
      </c>
      <c r="D63" s="6" t="s">
        <v>192</v>
      </c>
      <c r="E63" s="6" t="s">
        <v>193</v>
      </c>
      <c r="F63" s="6" t="s">
        <v>525</v>
      </c>
      <c r="G63" s="6" t="s">
        <v>523</v>
      </c>
      <c r="H63" t="s">
        <v>90</v>
      </c>
      <c r="I63" t="s">
        <v>392</v>
      </c>
      <c r="J63" t="s">
        <v>392</v>
      </c>
      <c r="K63" s="5">
        <v>0</v>
      </c>
      <c r="L63" s="5">
        <v>0</v>
      </c>
      <c r="M63" s="5">
        <v>0</v>
      </c>
      <c r="N63" s="4">
        <f t="shared" si="0"/>
        <v>0</v>
      </c>
    </row>
    <row r="64" spans="1:14">
      <c r="A64" s="6" t="s">
        <v>526</v>
      </c>
      <c r="B64" s="6" t="s">
        <v>96</v>
      </c>
      <c r="C64" s="6" t="s">
        <v>97</v>
      </c>
      <c r="D64" s="6" t="s">
        <v>195</v>
      </c>
      <c r="E64" s="6" t="s">
        <v>196</v>
      </c>
      <c r="F64" s="6" t="s">
        <v>527</v>
      </c>
      <c r="G64" s="6" t="s">
        <v>528</v>
      </c>
      <c r="H64" t="s">
        <v>90</v>
      </c>
      <c r="I64" t="s">
        <v>392</v>
      </c>
      <c r="J64" t="s">
        <v>392</v>
      </c>
      <c r="K64" s="5">
        <v>0</v>
      </c>
      <c r="L64" s="5">
        <v>0</v>
      </c>
      <c r="M64" s="5">
        <v>0</v>
      </c>
      <c r="N64" s="4">
        <f t="shared" si="0"/>
        <v>0</v>
      </c>
    </row>
    <row r="65" spans="1:14">
      <c r="A65" s="6" t="s">
        <v>529</v>
      </c>
      <c r="B65" s="6" t="s">
        <v>99</v>
      </c>
      <c r="C65" s="6" t="s">
        <v>100</v>
      </c>
      <c r="D65" s="6" t="s">
        <v>198</v>
      </c>
      <c r="E65" s="6" t="s">
        <v>199</v>
      </c>
      <c r="F65" s="6" t="s">
        <v>530</v>
      </c>
      <c r="G65" s="6" t="s">
        <v>531</v>
      </c>
      <c r="H65" t="s">
        <v>90</v>
      </c>
      <c r="I65" t="s">
        <v>392</v>
      </c>
      <c r="J65" t="s">
        <v>392</v>
      </c>
      <c r="K65" s="5">
        <v>0</v>
      </c>
      <c r="L65" s="5">
        <v>0</v>
      </c>
      <c r="M65" s="5">
        <v>0</v>
      </c>
      <c r="N65" s="4">
        <f t="shared" si="0"/>
        <v>0</v>
      </c>
    </row>
    <row r="66" spans="1:14">
      <c r="A66" s="6" t="s">
        <v>532</v>
      </c>
      <c r="B66" s="6" t="s">
        <v>99</v>
      </c>
      <c r="C66" s="6" t="s">
        <v>100</v>
      </c>
      <c r="D66" s="6" t="s">
        <v>198</v>
      </c>
      <c r="E66" s="6" t="s">
        <v>199</v>
      </c>
      <c r="F66" s="6" t="s">
        <v>533</v>
      </c>
      <c r="G66" s="6" t="s">
        <v>531</v>
      </c>
      <c r="H66" t="s">
        <v>90</v>
      </c>
      <c r="I66" t="s">
        <v>392</v>
      </c>
      <c r="J66" t="s">
        <v>392</v>
      </c>
      <c r="K66" s="5">
        <v>0</v>
      </c>
      <c r="L66" s="5">
        <v>0</v>
      </c>
      <c r="M66" s="5">
        <v>0</v>
      </c>
      <c r="N66" s="4">
        <f t="shared" si="0"/>
        <v>0</v>
      </c>
    </row>
    <row r="67" spans="1:14">
      <c r="A67" s="6" t="s">
        <v>534</v>
      </c>
      <c r="B67" s="6" t="s">
        <v>99</v>
      </c>
      <c r="C67" s="6" t="s">
        <v>100</v>
      </c>
      <c r="D67" s="6" t="s">
        <v>198</v>
      </c>
      <c r="E67" s="6" t="s">
        <v>199</v>
      </c>
      <c r="F67" s="6" t="s">
        <v>535</v>
      </c>
      <c r="G67" s="6" t="s">
        <v>531</v>
      </c>
      <c r="H67" t="s">
        <v>90</v>
      </c>
      <c r="I67" t="s">
        <v>392</v>
      </c>
      <c r="J67" t="s">
        <v>392</v>
      </c>
      <c r="K67" s="5">
        <v>0</v>
      </c>
      <c r="L67" s="5">
        <v>0</v>
      </c>
      <c r="M67" s="5">
        <v>0</v>
      </c>
      <c r="N67" s="4">
        <f t="shared" si="0"/>
        <v>0</v>
      </c>
    </row>
    <row r="68" spans="1:14">
      <c r="A68" s="6" t="s">
        <v>536</v>
      </c>
      <c r="B68" s="6" t="s">
        <v>99</v>
      </c>
      <c r="C68" s="6" t="s">
        <v>100</v>
      </c>
      <c r="D68" s="6" t="s">
        <v>201</v>
      </c>
      <c r="E68" s="6" t="s">
        <v>202</v>
      </c>
      <c r="F68" s="6" t="s">
        <v>537</v>
      </c>
      <c r="G68" s="6" t="s">
        <v>538</v>
      </c>
      <c r="H68" t="s">
        <v>90</v>
      </c>
      <c r="I68" t="s">
        <v>392</v>
      </c>
      <c r="J68" t="s">
        <v>392</v>
      </c>
      <c r="K68" s="5">
        <v>0</v>
      </c>
      <c r="L68" s="5">
        <v>0</v>
      </c>
      <c r="M68" s="5">
        <v>0</v>
      </c>
      <c r="N68" s="4">
        <f t="shared" si="0"/>
        <v>0</v>
      </c>
    </row>
    <row r="69" spans="1:14">
      <c r="A69" s="6" t="s">
        <v>539</v>
      </c>
      <c r="B69" s="6" t="s">
        <v>99</v>
      </c>
      <c r="C69" s="6" t="s">
        <v>100</v>
      </c>
      <c r="D69" s="6" t="s">
        <v>201</v>
      </c>
      <c r="E69" s="6" t="s">
        <v>202</v>
      </c>
      <c r="F69" s="6" t="s">
        <v>540</v>
      </c>
      <c r="G69" s="6" t="s">
        <v>538</v>
      </c>
      <c r="H69" t="s">
        <v>90</v>
      </c>
      <c r="I69" t="s">
        <v>392</v>
      </c>
      <c r="J69" t="s">
        <v>392</v>
      </c>
      <c r="K69" s="5">
        <v>0</v>
      </c>
      <c r="L69" s="5">
        <v>0</v>
      </c>
      <c r="M69" s="5">
        <v>0</v>
      </c>
      <c r="N69" s="4">
        <f t="shared" ref="N69:N132" si="1">K69-L69</f>
        <v>0</v>
      </c>
    </row>
    <row r="70" spans="1:14">
      <c r="A70" s="6" t="s">
        <v>541</v>
      </c>
      <c r="B70" s="6" t="s">
        <v>99</v>
      </c>
      <c r="C70" s="6" t="s">
        <v>100</v>
      </c>
      <c r="D70" s="6" t="s">
        <v>201</v>
      </c>
      <c r="E70" s="6" t="s">
        <v>202</v>
      </c>
      <c r="F70" s="6" t="s">
        <v>542</v>
      </c>
      <c r="G70" s="6" t="s">
        <v>538</v>
      </c>
      <c r="H70" t="s">
        <v>90</v>
      </c>
      <c r="I70" t="s">
        <v>392</v>
      </c>
      <c r="J70" t="s">
        <v>392</v>
      </c>
      <c r="K70" s="5">
        <v>0</v>
      </c>
      <c r="L70" s="5">
        <v>0</v>
      </c>
      <c r="M70" s="5">
        <v>0</v>
      </c>
      <c r="N70" s="4">
        <f t="shared" si="1"/>
        <v>0</v>
      </c>
    </row>
    <row r="71" spans="1:14">
      <c r="A71" s="6" t="s">
        <v>543</v>
      </c>
      <c r="B71" s="6" t="s">
        <v>99</v>
      </c>
      <c r="C71" s="6" t="s">
        <v>100</v>
      </c>
      <c r="D71" s="6" t="s">
        <v>204</v>
      </c>
      <c r="E71" s="6" t="s">
        <v>205</v>
      </c>
      <c r="F71" s="6" t="s">
        <v>544</v>
      </c>
      <c r="G71" s="6" t="s">
        <v>545</v>
      </c>
      <c r="H71" t="s">
        <v>90</v>
      </c>
      <c r="I71" t="s">
        <v>392</v>
      </c>
      <c r="J71" t="s">
        <v>392</v>
      </c>
      <c r="K71" s="5">
        <v>0</v>
      </c>
      <c r="L71" s="5">
        <v>0</v>
      </c>
      <c r="M71" s="5">
        <v>0</v>
      </c>
      <c r="N71" s="4">
        <f t="shared" si="1"/>
        <v>0</v>
      </c>
    </row>
    <row r="72" spans="1:14">
      <c r="A72" s="6" t="s">
        <v>546</v>
      </c>
      <c r="B72" s="6" t="s">
        <v>99</v>
      </c>
      <c r="C72" s="6" t="s">
        <v>100</v>
      </c>
      <c r="D72" s="6" t="s">
        <v>204</v>
      </c>
      <c r="E72" s="6" t="s">
        <v>205</v>
      </c>
      <c r="F72" s="6" t="s">
        <v>547</v>
      </c>
      <c r="G72" s="6" t="s">
        <v>545</v>
      </c>
      <c r="H72" t="s">
        <v>90</v>
      </c>
      <c r="I72" t="s">
        <v>392</v>
      </c>
      <c r="J72" t="s">
        <v>392</v>
      </c>
      <c r="K72" s="5">
        <v>0</v>
      </c>
      <c r="L72" s="5">
        <v>0</v>
      </c>
      <c r="M72" s="5">
        <v>0</v>
      </c>
      <c r="N72" s="4">
        <f t="shared" si="1"/>
        <v>0</v>
      </c>
    </row>
    <row r="73" spans="1:14">
      <c r="A73" s="6" t="s">
        <v>548</v>
      </c>
      <c r="B73" s="6" t="s">
        <v>99</v>
      </c>
      <c r="C73" s="6" t="s">
        <v>100</v>
      </c>
      <c r="D73" s="6" t="s">
        <v>207</v>
      </c>
      <c r="E73" s="6" t="s">
        <v>208</v>
      </c>
      <c r="F73" s="6" t="s">
        <v>549</v>
      </c>
      <c r="G73" s="6" t="s">
        <v>550</v>
      </c>
      <c r="H73" t="s">
        <v>90</v>
      </c>
      <c r="I73" t="s">
        <v>392</v>
      </c>
      <c r="J73" t="s">
        <v>392</v>
      </c>
      <c r="K73" s="5">
        <v>0</v>
      </c>
      <c r="L73" s="5">
        <v>0</v>
      </c>
      <c r="M73" s="5">
        <v>0</v>
      </c>
      <c r="N73" s="4">
        <f t="shared" si="1"/>
        <v>0</v>
      </c>
    </row>
    <row r="74" spans="1:14">
      <c r="A74" s="6" t="s">
        <v>551</v>
      </c>
      <c r="B74" s="6" t="s">
        <v>99</v>
      </c>
      <c r="C74" s="6" t="s">
        <v>100</v>
      </c>
      <c r="D74" s="6" t="s">
        <v>207</v>
      </c>
      <c r="E74" s="6" t="s">
        <v>208</v>
      </c>
      <c r="F74" s="6" t="s">
        <v>552</v>
      </c>
      <c r="G74" s="6" t="s">
        <v>550</v>
      </c>
      <c r="H74" t="s">
        <v>90</v>
      </c>
      <c r="I74" t="s">
        <v>392</v>
      </c>
      <c r="J74" t="s">
        <v>392</v>
      </c>
      <c r="K74" s="5">
        <v>0</v>
      </c>
      <c r="L74" s="5">
        <v>0</v>
      </c>
      <c r="M74" s="5">
        <v>0</v>
      </c>
      <c r="N74" s="4">
        <f t="shared" si="1"/>
        <v>0</v>
      </c>
    </row>
    <row r="75" spans="1:14">
      <c r="A75" s="6" t="s">
        <v>553</v>
      </c>
      <c r="B75" s="6" t="s">
        <v>99</v>
      </c>
      <c r="C75" s="6" t="s">
        <v>100</v>
      </c>
      <c r="D75" s="6" t="s">
        <v>210</v>
      </c>
      <c r="E75" s="6" t="s">
        <v>211</v>
      </c>
      <c r="F75" s="6" t="s">
        <v>554</v>
      </c>
      <c r="G75" s="6" t="s">
        <v>555</v>
      </c>
      <c r="H75" t="s">
        <v>90</v>
      </c>
      <c r="I75" t="s">
        <v>392</v>
      </c>
      <c r="J75" t="s">
        <v>392</v>
      </c>
      <c r="K75" s="5">
        <v>0</v>
      </c>
      <c r="L75" s="5">
        <v>0</v>
      </c>
      <c r="M75" s="5">
        <v>0</v>
      </c>
      <c r="N75" s="4">
        <f t="shared" si="1"/>
        <v>0</v>
      </c>
    </row>
    <row r="76" spans="1:14">
      <c r="A76" s="6" t="s">
        <v>556</v>
      </c>
      <c r="B76" s="6" t="s">
        <v>99</v>
      </c>
      <c r="C76" s="6" t="s">
        <v>100</v>
      </c>
      <c r="D76" s="6" t="s">
        <v>210</v>
      </c>
      <c r="E76" s="6" t="s">
        <v>211</v>
      </c>
      <c r="F76" s="6" t="s">
        <v>557</v>
      </c>
      <c r="G76" s="6" t="s">
        <v>555</v>
      </c>
      <c r="H76" t="s">
        <v>90</v>
      </c>
      <c r="I76" t="s">
        <v>392</v>
      </c>
      <c r="J76" t="s">
        <v>392</v>
      </c>
      <c r="K76" s="5">
        <v>0</v>
      </c>
      <c r="L76" s="5">
        <v>0</v>
      </c>
      <c r="M76" s="5">
        <v>0</v>
      </c>
      <c r="N76" s="4">
        <f t="shared" si="1"/>
        <v>0</v>
      </c>
    </row>
    <row r="77" spans="1:14">
      <c r="A77" s="6" t="s">
        <v>558</v>
      </c>
      <c r="B77" s="6" t="s">
        <v>99</v>
      </c>
      <c r="C77" s="6" t="s">
        <v>100</v>
      </c>
      <c r="D77" s="6" t="s">
        <v>213</v>
      </c>
      <c r="E77" s="6" t="s">
        <v>214</v>
      </c>
      <c r="F77" s="6" t="s">
        <v>559</v>
      </c>
      <c r="G77" s="6" t="s">
        <v>560</v>
      </c>
      <c r="H77" t="s">
        <v>90</v>
      </c>
      <c r="I77" t="s">
        <v>392</v>
      </c>
      <c r="J77" t="s">
        <v>392</v>
      </c>
      <c r="K77" s="5">
        <v>0</v>
      </c>
      <c r="L77" s="5">
        <v>0</v>
      </c>
      <c r="M77" s="5">
        <v>0</v>
      </c>
      <c r="N77" s="4">
        <f t="shared" si="1"/>
        <v>0</v>
      </c>
    </row>
    <row r="78" spans="1:14">
      <c r="A78" s="6" t="s">
        <v>561</v>
      </c>
      <c r="B78" s="6" t="s">
        <v>102</v>
      </c>
      <c r="C78" s="6" t="s">
        <v>103</v>
      </c>
      <c r="D78" s="6" t="s">
        <v>216</v>
      </c>
      <c r="E78" s="6" t="s">
        <v>217</v>
      </c>
      <c r="F78" s="6" t="s">
        <v>562</v>
      </c>
      <c r="G78" s="6" t="s">
        <v>563</v>
      </c>
      <c r="H78" t="s">
        <v>90</v>
      </c>
      <c r="I78" t="s">
        <v>392</v>
      </c>
      <c r="J78" t="s">
        <v>392</v>
      </c>
      <c r="K78" s="5">
        <v>0</v>
      </c>
      <c r="L78" s="5">
        <v>0</v>
      </c>
      <c r="M78" s="5">
        <v>0</v>
      </c>
      <c r="N78" s="4">
        <f t="shared" si="1"/>
        <v>0</v>
      </c>
    </row>
    <row r="79" spans="1:14">
      <c r="A79" s="6" t="s">
        <v>564</v>
      </c>
      <c r="B79" s="6" t="s">
        <v>102</v>
      </c>
      <c r="C79" s="6" t="s">
        <v>103</v>
      </c>
      <c r="D79" s="6" t="s">
        <v>216</v>
      </c>
      <c r="E79" s="6" t="s">
        <v>217</v>
      </c>
      <c r="F79" s="6" t="s">
        <v>565</v>
      </c>
      <c r="G79" s="6" t="s">
        <v>563</v>
      </c>
      <c r="H79" t="s">
        <v>90</v>
      </c>
      <c r="I79" t="s">
        <v>392</v>
      </c>
      <c r="J79" t="s">
        <v>392</v>
      </c>
      <c r="K79" s="5">
        <v>0</v>
      </c>
      <c r="L79" s="5">
        <v>0</v>
      </c>
      <c r="M79" s="5">
        <v>0</v>
      </c>
      <c r="N79" s="4">
        <f t="shared" si="1"/>
        <v>0</v>
      </c>
    </row>
    <row r="80" spans="1:14">
      <c r="A80" s="6" t="s">
        <v>566</v>
      </c>
      <c r="B80" s="6" t="s">
        <v>102</v>
      </c>
      <c r="C80" s="6" t="s">
        <v>103</v>
      </c>
      <c r="D80" s="6" t="s">
        <v>219</v>
      </c>
      <c r="E80" s="6" t="s">
        <v>220</v>
      </c>
      <c r="F80" s="6" t="s">
        <v>567</v>
      </c>
      <c r="G80" s="6" t="s">
        <v>568</v>
      </c>
      <c r="H80" t="s">
        <v>90</v>
      </c>
      <c r="I80" t="s">
        <v>392</v>
      </c>
      <c r="J80" t="s">
        <v>392</v>
      </c>
      <c r="K80" s="5">
        <v>0</v>
      </c>
      <c r="L80" s="5">
        <v>0</v>
      </c>
      <c r="M80" s="5">
        <v>0</v>
      </c>
      <c r="N80" s="4">
        <f t="shared" si="1"/>
        <v>0</v>
      </c>
    </row>
    <row r="81" spans="1:14">
      <c r="A81" s="6" t="s">
        <v>569</v>
      </c>
      <c r="B81" s="6" t="s">
        <v>102</v>
      </c>
      <c r="C81" s="6" t="s">
        <v>103</v>
      </c>
      <c r="D81" s="6" t="s">
        <v>219</v>
      </c>
      <c r="E81" s="6" t="s">
        <v>220</v>
      </c>
      <c r="F81" s="6" t="s">
        <v>570</v>
      </c>
      <c r="G81" s="6" t="s">
        <v>568</v>
      </c>
      <c r="H81" t="s">
        <v>90</v>
      </c>
      <c r="I81" t="s">
        <v>392</v>
      </c>
      <c r="J81" t="s">
        <v>392</v>
      </c>
      <c r="K81" s="5">
        <v>0</v>
      </c>
      <c r="L81" s="5">
        <v>0</v>
      </c>
      <c r="M81" s="5">
        <v>0</v>
      </c>
      <c r="N81" s="4">
        <f t="shared" si="1"/>
        <v>0</v>
      </c>
    </row>
    <row r="82" spans="1:14">
      <c r="A82" s="6" t="s">
        <v>571</v>
      </c>
      <c r="B82" s="6" t="s">
        <v>102</v>
      </c>
      <c r="C82" s="6" t="s">
        <v>103</v>
      </c>
      <c r="D82" s="6" t="s">
        <v>219</v>
      </c>
      <c r="E82" s="6" t="s">
        <v>220</v>
      </c>
      <c r="F82" s="6" t="s">
        <v>572</v>
      </c>
      <c r="G82" s="6" t="s">
        <v>568</v>
      </c>
      <c r="H82" t="s">
        <v>90</v>
      </c>
      <c r="I82" t="s">
        <v>392</v>
      </c>
      <c r="J82" t="s">
        <v>392</v>
      </c>
      <c r="K82" s="5">
        <v>0</v>
      </c>
      <c r="L82" s="5">
        <v>0</v>
      </c>
      <c r="M82" s="5">
        <v>0</v>
      </c>
      <c r="N82" s="4">
        <f t="shared" si="1"/>
        <v>0</v>
      </c>
    </row>
    <row r="83" spans="1:14">
      <c r="A83" s="6" t="s">
        <v>573</v>
      </c>
      <c r="B83" s="6" t="s">
        <v>102</v>
      </c>
      <c r="C83" s="6" t="s">
        <v>103</v>
      </c>
      <c r="D83" s="6" t="s">
        <v>222</v>
      </c>
      <c r="E83" s="6" t="s">
        <v>223</v>
      </c>
      <c r="F83" s="6" t="s">
        <v>574</v>
      </c>
      <c r="G83" s="6" t="s">
        <v>575</v>
      </c>
      <c r="H83" t="s">
        <v>90</v>
      </c>
      <c r="I83" t="s">
        <v>392</v>
      </c>
      <c r="J83" t="s">
        <v>392</v>
      </c>
      <c r="K83" s="5">
        <v>0</v>
      </c>
      <c r="L83" s="5">
        <v>0</v>
      </c>
      <c r="M83" s="5">
        <v>0</v>
      </c>
      <c r="N83" s="4">
        <f t="shared" si="1"/>
        <v>0</v>
      </c>
    </row>
    <row r="84" spans="1:14">
      <c r="A84" s="6" t="s">
        <v>576</v>
      </c>
      <c r="B84" s="6" t="s">
        <v>102</v>
      </c>
      <c r="C84" s="6" t="s">
        <v>103</v>
      </c>
      <c r="D84" s="6" t="s">
        <v>225</v>
      </c>
      <c r="E84" s="6" t="s">
        <v>226</v>
      </c>
      <c r="F84" s="6" t="s">
        <v>577</v>
      </c>
      <c r="G84" s="6" t="s">
        <v>578</v>
      </c>
      <c r="H84" t="s">
        <v>90</v>
      </c>
      <c r="I84" t="s">
        <v>392</v>
      </c>
      <c r="J84" t="s">
        <v>392</v>
      </c>
      <c r="K84" s="5">
        <v>0</v>
      </c>
      <c r="L84" s="5">
        <v>0</v>
      </c>
      <c r="M84" s="5">
        <v>0</v>
      </c>
      <c r="N84" s="4">
        <f t="shared" si="1"/>
        <v>0</v>
      </c>
    </row>
    <row r="85" spans="1:14">
      <c r="A85" s="6" t="s">
        <v>579</v>
      </c>
      <c r="B85" s="6" t="s">
        <v>102</v>
      </c>
      <c r="C85" s="6" t="s">
        <v>103</v>
      </c>
      <c r="D85" s="6" t="s">
        <v>225</v>
      </c>
      <c r="E85" s="6" t="s">
        <v>226</v>
      </c>
      <c r="F85" s="6" t="s">
        <v>580</v>
      </c>
      <c r="G85" s="6" t="s">
        <v>578</v>
      </c>
      <c r="H85" t="s">
        <v>90</v>
      </c>
      <c r="I85" t="s">
        <v>392</v>
      </c>
      <c r="J85" t="s">
        <v>392</v>
      </c>
      <c r="K85" s="5">
        <v>0</v>
      </c>
      <c r="L85" s="5">
        <v>0</v>
      </c>
      <c r="M85" s="5">
        <v>0</v>
      </c>
      <c r="N85" s="4">
        <f t="shared" si="1"/>
        <v>0</v>
      </c>
    </row>
    <row r="86" spans="1:14">
      <c r="A86" s="6" t="s">
        <v>581</v>
      </c>
      <c r="B86" s="6" t="s">
        <v>102</v>
      </c>
      <c r="C86" s="6" t="s">
        <v>103</v>
      </c>
      <c r="D86" s="6" t="s">
        <v>225</v>
      </c>
      <c r="E86" s="6" t="s">
        <v>226</v>
      </c>
      <c r="F86" s="6" t="s">
        <v>582</v>
      </c>
      <c r="G86" s="6" t="s">
        <v>578</v>
      </c>
      <c r="H86" t="s">
        <v>90</v>
      </c>
      <c r="I86" t="s">
        <v>392</v>
      </c>
      <c r="J86" t="s">
        <v>392</v>
      </c>
      <c r="K86" s="5">
        <v>0</v>
      </c>
      <c r="L86" s="5">
        <v>0</v>
      </c>
      <c r="M86" s="5">
        <v>0</v>
      </c>
      <c r="N86" s="4">
        <f t="shared" si="1"/>
        <v>0</v>
      </c>
    </row>
    <row r="87" spans="1:14">
      <c r="A87" s="6" t="s">
        <v>583</v>
      </c>
      <c r="B87" s="6" t="s">
        <v>102</v>
      </c>
      <c r="C87" s="6" t="s">
        <v>103</v>
      </c>
      <c r="D87" s="6" t="s">
        <v>225</v>
      </c>
      <c r="E87" s="6" t="s">
        <v>226</v>
      </c>
      <c r="F87" s="6" t="s">
        <v>584</v>
      </c>
      <c r="G87" s="6" t="s">
        <v>578</v>
      </c>
      <c r="H87" t="s">
        <v>90</v>
      </c>
      <c r="I87" t="s">
        <v>392</v>
      </c>
      <c r="J87" t="s">
        <v>392</v>
      </c>
      <c r="K87" s="5">
        <v>0</v>
      </c>
      <c r="L87" s="5">
        <v>0</v>
      </c>
      <c r="M87" s="5">
        <v>0</v>
      </c>
      <c r="N87" s="4">
        <f t="shared" si="1"/>
        <v>0</v>
      </c>
    </row>
    <row r="88" spans="1:14">
      <c r="A88" s="6" t="s">
        <v>585</v>
      </c>
      <c r="B88" s="6" t="s">
        <v>102</v>
      </c>
      <c r="C88" s="6" t="s">
        <v>103</v>
      </c>
      <c r="D88" s="6" t="s">
        <v>228</v>
      </c>
      <c r="E88" s="6" t="s">
        <v>229</v>
      </c>
      <c r="F88" s="6" t="s">
        <v>586</v>
      </c>
      <c r="G88" s="6" t="s">
        <v>587</v>
      </c>
      <c r="H88" t="s">
        <v>90</v>
      </c>
      <c r="I88" t="s">
        <v>392</v>
      </c>
      <c r="J88" t="s">
        <v>392</v>
      </c>
      <c r="K88" s="5">
        <v>0</v>
      </c>
      <c r="L88" s="5">
        <v>0</v>
      </c>
      <c r="M88" s="5">
        <v>0</v>
      </c>
      <c r="N88" s="4">
        <f t="shared" si="1"/>
        <v>0</v>
      </c>
    </row>
    <row r="89" spans="1:14">
      <c r="A89" s="6" t="s">
        <v>588</v>
      </c>
      <c r="B89" s="6" t="s">
        <v>102</v>
      </c>
      <c r="C89" s="6" t="s">
        <v>103</v>
      </c>
      <c r="D89" s="6" t="s">
        <v>228</v>
      </c>
      <c r="E89" s="6" t="s">
        <v>229</v>
      </c>
      <c r="F89" s="6" t="s">
        <v>589</v>
      </c>
      <c r="G89" s="6" t="s">
        <v>587</v>
      </c>
      <c r="H89" t="s">
        <v>90</v>
      </c>
      <c r="I89" t="s">
        <v>392</v>
      </c>
      <c r="J89" t="s">
        <v>392</v>
      </c>
      <c r="K89" s="5">
        <v>0</v>
      </c>
      <c r="L89" s="5">
        <v>0</v>
      </c>
      <c r="M89" s="5">
        <v>0</v>
      </c>
      <c r="N89" s="4">
        <f t="shared" si="1"/>
        <v>0</v>
      </c>
    </row>
    <row r="90" spans="1:14">
      <c r="A90" s="6" t="s">
        <v>590</v>
      </c>
      <c r="B90" s="6" t="s">
        <v>102</v>
      </c>
      <c r="C90" s="6" t="s">
        <v>103</v>
      </c>
      <c r="D90" s="6" t="s">
        <v>231</v>
      </c>
      <c r="E90" s="6" t="s">
        <v>232</v>
      </c>
      <c r="F90" s="6" t="s">
        <v>591</v>
      </c>
      <c r="G90" s="6" t="s">
        <v>555</v>
      </c>
      <c r="H90" t="s">
        <v>90</v>
      </c>
      <c r="I90" t="s">
        <v>392</v>
      </c>
      <c r="J90" t="s">
        <v>392</v>
      </c>
      <c r="K90" s="5">
        <v>0</v>
      </c>
      <c r="L90" s="5">
        <v>0</v>
      </c>
      <c r="M90" s="5">
        <v>0</v>
      </c>
      <c r="N90" s="4">
        <f t="shared" si="1"/>
        <v>0</v>
      </c>
    </row>
    <row r="91" spans="1:14">
      <c r="A91" s="6" t="s">
        <v>592</v>
      </c>
      <c r="B91" s="6" t="s">
        <v>105</v>
      </c>
      <c r="C91" s="6" t="s">
        <v>106</v>
      </c>
      <c r="D91" s="6" t="s">
        <v>234</v>
      </c>
      <c r="E91" s="6" t="s">
        <v>235</v>
      </c>
      <c r="F91" s="6" t="s">
        <v>593</v>
      </c>
      <c r="G91" s="6" t="s">
        <v>594</v>
      </c>
      <c r="H91" t="s">
        <v>90</v>
      </c>
      <c r="I91" t="s">
        <v>392</v>
      </c>
      <c r="J91" t="s">
        <v>392</v>
      </c>
      <c r="K91" s="5">
        <v>0</v>
      </c>
      <c r="L91" s="5">
        <v>0</v>
      </c>
      <c r="M91" s="5">
        <v>0</v>
      </c>
      <c r="N91" s="4">
        <f t="shared" si="1"/>
        <v>0</v>
      </c>
    </row>
    <row r="92" spans="1:14">
      <c r="A92" s="6" t="s">
        <v>595</v>
      </c>
      <c r="B92" s="6" t="s">
        <v>105</v>
      </c>
      <c r="C92" s="6" t="s">
        <v>106</v>
      </c>
      <c r="D92" s="6" t="s">
        <v>234</v>
      </c>
      <c r="E92" s="6" t="s">
        <v>235</v>
      </c>
      <c r="F92" s="6" t="s">
        <v>596</v>
      </c>
      <c r="G92" s="6" t="s">
        <v>594</v>
      </c>
      <c r="H92" t="s">
        <v>90</v>
      </c>
      <c r="I92" t="s">
        <v>392</v>
      </c>
      <c r="J92" t="s">
        <v>392</v>
      </c>
      <c r="K92" s="5">
        <v>0</v>
      </c>
      <c r="L92" s="5">
        <v>0</v>
      </c>
      <c r="M92" s="5">
        <v>0</v>
      </c>
      <c r="N92" s="4">
        <f t="shared" si="1"/>
        <v>0</v>
      </c>
    </row>
    <row r="93" spans="1:14">
      <c r="A93" s="6" t="s">
        <v>597</v>
      </c>
      <c r="B93" s="6" t="s">
        <v>105</v>
      </c>
      <c r="C93" s="6" t="s">
        <v>106</v>
      </c>
      <c r="D93" s="6" t="s">
        <v>237</v>
      </c>
      <c r="E93" s="6" t="s">
        <v>238</v>
      </c>
      <c r="F93" s="6" t="s">
        <v>598</v>
      </c>
      <c r="G93" s="6" t="s">
        <v>238</v>
      </c>
      <c r="H93" t="s">
        <v>90</v>
      </c>
      <c r="I93" t="s">
        <v>392</v>
      </c>
      <c r="J93" t="s">
        <v>392</v>
      </c>
      <c r="K93" s="5">
        <v>0</v>
      </c>
      <c r="L93" s="5">
        <v>0</v>
      </c>
      <c r="M93" s="5">
        <v>0</v>
      </c>
      <c r="N93" s="4">
        <f t="shared" si="1"/>
        <v>0</v>
      </c>
    </row>
    <row r="94" spans="1:14">
      <c r="A94" s="6" t="s">
        <v>599</v>
      </c>
      <c r="B94" s="6" t="s">
        <v>105</v>
      </c>
      <c r="C94" s="6" t="s">
        <v>106</v>
      </c>
      <c r="D94" s="6" t="s">
        <v>240</v>
      </c>
      <c r="E94" s="6" t="s">
        <v>241</v>
      </c>
      <c r="F94" s="6" t="s">
        <v>600</v>
      </c>
      <c r="G94" s="6" t="s">
        <v>601</v>
      </c>
      <c r="H94" t="s">
        <v>90</v>
      </c>
      <c r="I94" t="s">
        <v>392</v>
      </c>
      <c r="J94" t="s">
        <v>392</v>
      </c>
      <c r="K94" s="5">
        <v>0</v>
      </c>
      <c r="L94" s="5">
        <v>0</v>
      </c>
      <c r="M94" s="5">
        <v>0</v>
      </c>
      <c r="N94" s="4">
        <f t="shared" si="1"/>
        <v>0</v>
      </c>
    </row>
    <row r="95" spans="1:14">
      <c r="A95" s="6" t="s">
        <v>602</v>
      </c>
      <c r="B95" s="6" t="s">
        <v>105</v>
      </c>
      <c r="C95" s="6" t="s">
        <v>106</v>
      </c>
      <c r="D95" s="6" t="s">
        <v>240</v>
      </c>
      <c r="E95" s="6" t="s">
        <v>241</v>
      </c>
      <c r="F95" s="6" t="s">
        <v>603</v>
      </c>
      <c r="G95" s="6" t="s">
        <v>601</v>
      </c>
      <c r="H95" t="s">
        <v>90</v>
      </c>
      <c r="I95" t="s">
        <v>392</v>
      </c>
      <c r="J95" t="s">
        <v>392</v>
      </c>
      <c r="K95" s="5">
        <v>0</v>
      </c>
      <c r="L95" s="5">
        <v>0</v>
      </c>
      <c r="M95" s="5">
        <v>0</v>
      </c>
      <c r="N95" s="4">
        <f t="shared" si="1"/>
        <v>0</v>
      </c>
    </row>
    <row r="96" spans="1:14">
      <c r="A96" s="6" t="s">
        <v>604</v>
      </c>
      <c r="B96" s="6" t="s">
        <v>105</v>
      </c>
      <c r="C96" s="6" t="s">
        <v>106</v>
      </c>
      <c r="D96" s="6" t="s">
        <v>243</v>
      </c>
      <c r="E96" s="6" t="s">
        <v>244</v>
      </c>
      <c r="F96" s="6" t="s">
        <v>605</v>
      </c>
      <c r="G96" s="6" t="s">
        <v>606</v>
      </c>
      <c r="H96" t="s">
        <v>90</v>
      </c>
      <c r="I96" t="s">
        <v>392</v>
      </c>
      <c r="J96" t="s">
        <v>392</v>
      </c>
      <c r="K96" s="5">
        <v>0</v>
      </c>
      <c r="L96" s="5">
        <v>0</v>
      </c>
      <c r="M96" s="5">
        <v>0</v>
      </c>
      <c r="N96" s="4">
        <f t="shared" si="1"/>
        <v>0</v>
      </c>
    </row>
    <row r="97" spans="1:14">
      <c r="A97" s="6" t="s">
        <v>607</v>
      </c>
      <c r="B97" s="6" t="s">
        <v>105</v>
      </c>
      <c r="C97" s="6" t="s">
        <v>106</v>
      </c>
      <c r="D97" s="6" t="s">
        <v>246</v>
      </c>
      <c r="E97" s="6" t="s">
        <v>247</v>
      </c>
      <c r="F97" s="6" t="s">
        <v>608</v>
      </c>
      <c r="G97" s="6" t="s">
        <v>609</v>
      </c>
      <c r="H97" t="s">
        <v>90</v>
      </c>
      <c r="I97" t="s">
        <v>392</v>
      </c>
      <c r="J97" t="s">
        <v>392</v>
      </c>
      <c r="K97" s="5">
        <v>0</v>
      </c>
      <c r="L97" s="5">
        <v>0</v>
      </c>
      <c r="M97" s="5">
        <v>0</v>
      </c>
      <c r="N97" s="4">
        <f t="shared" si="1"/>
        <v>0</v>
      </c>
    </row>
    <row r="98" spans="1:14">
      <c r="A98" s="6" t="s">
        <v>610</v>
      </c>
      <c r="B98" s="6" t="s">
        <v>105</v>
      </c>
      <c r="C98" s="6" t="s">
        <v>106</v>
      </c>
      <c r="D98" s="6" t="s">
        <v>246</v>
      </c>
      <c r="E98" s="6" t="s">
        <v>247</v>
      </c>
      <c r="F98" s="6" t="s">
        <v>611</v>
      </c>
      <c r="G98" s="6" t="s">
        <v>609</v>
      </c>
      <c r="H98" t="s">
        <v>90</v>
      </c>
      <c r="I98" t="s">
        <v>392</v>
      </c>
      <c r="J98" t="s">
        <v>392</v>
      </c>
      <c r="K98" s="5">
        <v>0</v>
      </c>
      <c r="L98" s="5">
        <v>0</v>
      </c>
      <c r="M98" s="5">
        <v>0</v>
      </c>
      <c r="N98" s="4">
        <f t="shared" si="1"/>
        <v>0</v>
      </c>
    </row>
    <row r="99" spans="1:14">
      <c r="A99" s="6" t="s">
        <v>612</v>
      </c>
      <c r="B99" s="6" t="s">
        <v>105</v>
      </c>
      <c r="C99" s="6" t="s">
        <v>106</v>
      </c>
      <c r="D99" s="6" t="s">
        <v>249</v>
      </c>
      <c r="E99" s="6" t="s">
        <v>250</v>
      </c>
      <c r="F99" s="6" t="s">
        <v>613</v>
      </c>
      <c r="G99" s="6" t="s">
        <v>614</v>
      </c>
      <c r="H99" t="s">
        <v>90</v>
      </c>
      <c r="I99" t="s">
        <v>392</v>
      </c>
      <c r="J99" t="s">
        <v>392</v>
      </c>
      <c r="K99" s="5">
        <v>0</v>
      </c>
      <c r="L99" s="5">
        <v>0</v>
      </c>
      <c r="M99" s="5">
        <v>0</v>
      </c>
      <c r="N99" s="4">
        <f t="shared" si="1"/>
        <v>0</v>
      </c>
    </row>
    <row r="100" spans="1:14">
      <c r="A100" s="6" t="s">
        <v>615</v>
      </c>
      <c r="B100" s="6" t="s">
        <v>105</v>
      </c>
      <c r="C100" s="6" t="s">
        <v>106</v>
      </c>
      <c r="D100" s="6" t="s">
        <v>252</v>
      </c>
      <c r="E100" s="6" t="s">
        <v>253</v>
      </c>
      <c r="F100" s="6" t="s">
        <v>616</v>
      </c>
      <c r="G100" s="6" t="s">
        <v>617</v>
      </c>
      <c r="H100" t="s">
        <v>90</v>
      </c>
      <c r="I100" t="s">
        <v>392</v>
      </c>
      <c r="J100" t="s">
        <v>392</v>
      </c>
      <c r="K100" s="5">
        <v>0</v>
      </c>
      <c r="L100" s="5">
        <v>0</v>
      </c>
      <c r="M100" s="5">
        <v>0</v>
      </c>
      <c r="N100" s="4">
        <f t="shared" si="1"/>
        <v>0</v>
      </c>
    </row>
    <row r="101" spans="1:14">
      <c r="A101" s="6" t="s">
        <v>618</v>
      </c>
      <c r="B101" s="6" t="s">
        <v>105</v>
      </c>
      <c r="C101" s="6" t="s">
        <v>106</v>
      </c>
      <c r="D101" s="6" t="s">
        <v>252</v>
      </c>
      <c r="E101" s="6" t="s">
        <v>253</v>
      </c>
      <c r="F101" s="6" t="s">
        <v>619</v>
      </c>
      <c r="G101" s="6" t="s">
        <v>617</v>
      </c>
      <c r="H101" t="s">
        <v>90</v>
      </c>
      <c r="I101" t="s">
        <v>392</v>
      </c>
      <c r="J101" t="s">
        <v>392</v>
      </c>
      <c r="K101" s="5">
        <v>0</v>
      </c>
      <c r="L101" s="5">
        <v>0</v>
      </c>
      <c r="M101" s="5">
        <v>0</v>
      </c>
      <c r="N101" s="4">
        <f t="shared" si="1"/>
        <v>0</v>
      </c>
    </row>
    <row r="102" spans="1:14">
      <c r="A102" s="6" t="s">
        <v>620</v>
      </c>
      <c r="B102" s="6" t="s">
        <v>108</v>
      </c>
      <c r="C102" s="6" t="s">
        <v>109</v>
      </c>
      <c r="D102" s="6" t="s">
        <v>255</v>
      </c>
      <c r="E102" s="6" t="s">
        <v>256</v>
      </c>
      <c r="F102" s="6" t="s">
        <v>621</v>
      </c>
      <c r="G102" s="6" t="s">
        <v>622</v>
      </c>
      <c r="H102" t="s">
        <v>90</v>
      </c>
      <c r="I102" t="s">
        <v>392</v>
      </c>
      <c r="J102" t="s">
        <v>392</v>
      </c>
      <c r="K102" s="5">
        <v>0</v>
      </c>
      <c r="L102" s="5">
        <v>0</v>
      </c>
      <c r="M102" s="5">
        <v>0</v>
      </c>
      <c r="N102" s="4">
        <f t="shared" si="1"/>
        <v>0</v>
      </c>
    </row>
    <row r="103" spans="1:14">
      <c r="A103" s="6" t="s">
        <v>623</v>
      </c>
      <c r="B103" s="6" t="s">
        <v>108</v>
      </c>
      <c r="C103" s="6" t="s">
        <v>109</v>
      </c>
      <c r="D103" s="6" t="s">
        <v>258</v>
      </c>
      <c r="E103" s="6" t="s">
        <v>259</v>
      </c>
      <c r="F103" s="6" t="s">
        <v>624</v>
      </c>
      <c r="G103" s="6" t="s">
        <v>625</v>
      </c>
      <c r="H103" t="s">
        <v>90</v>
      </c>
      <c r="I103" t="s">
        <v>392</v>
      </c>
      <c r="J103" t="s">
        <v>392</v>
      </c>
      <c r="K103" s="5">
        <v>0</v>
      </c>
      <c r="L103" s="5">
        <v>0</v>
      </c>
      <c r="M103" s="5">
        <v>0</v>
      </c>
      <c r="N103" s="4">
        <f t="shared" si="1"/>
        <v>0</v>
      </c>
    </row>
    <row r="104" spans="1:14">
      <c r="A104" s="6" t="s">
        <v>626</v>
      </c>
      <c r="B104" s="6" t="s">
        <v>108</v>
      </c>
      <c r="C104" s="6" t="s">
        <v>109</v>
      </c>
      <c r="D104" s="6" t="s">
        <v>258</v>
      </c>
      <c r="E104" s="6" t="s">
        <v>259</v>
      </c>
      <c r="F104" s="6" t="s">
        <v>627</v>
      </c>
      <c r="G104" s="6" t="s">
        <v>625</v>
      </c>
      <c r="H104" t="s">
        <v>90</v>
      </c>
      <c r="I104" t="s">
        <v>392</v>
      </c>
      <c r="J104" t="s">
        <v>392</v>
      </c>
      <c r="K104" s="5">
        <v>0</v>
      </c>
      <c r="L104" s="5">
        <v>0</v>
      </c>
      <c r="M104" s="5">
        <v>0</v>
      </c>
      <c r="N104" s="4">
        <f t="shared" si="1"/>
        <v>0</v>
      </c>
    </row>
    <row r="105" spans="1:14">
      <c r="A105" s="6" t="s">
        <v>628</v>
      </c>
      <c r="B105" s="6" t="s">
        <v>108</v>
      </c>
      <c r="C105" s="6" t="s">
        <v>109</v>
      </c>
      <c r="D105" s="6" t="s">
        <v>258</v>
      </c>
      <c r="E105" s="6" t="s">
        <v>259</v>
      </c>
      <c r="F105" s="6" t="s">
        <v>629</v>
      </c>
      <c r="G105" s="6" t="s">
        <v>625</v>
      </c>
      <c r="H105" t="s">
        <v>90</v>
      </c>
      <c r="I105" t="s">
        <v>392</v>
      </c>
      <c r="J105" t="s">
        <v>392</v>
      </c>
      <c r="K105" s="5">
        <v>0</v>
      </c>
      <c r="L105" s="5">
        <v>0</v>
      </c>
      <c r="M105" s="5">
        <v>0</v>
      </c>
      <c r="N105" s="4">
        <f t="shared" si="1"/>
        <v>0</v>
      </c>
    </row>
    <row r="106" spans="1:14">
      <c r="A106" s="6" t="s">
        <v>630</v>
      </c>
      <c r="B106" s="6" t="s">
        <v>108</v>
      </c>
      <c r="C106" s="6" t="s">
        <v>109</v>
      </c>
      <c r="D106" s="6" t="s">
        <v>261</v>
      </c>
      <c r="E106" s="6" t="s">
        <v>262</v>
      </c>
      <c r="F106" s="6" t="s">
        <v>262</v>
      </c>
      <c r="G106" s="6" t="s">
        <v>631</v>
      </c>
      <c r="H106" t="s">
        <v>90</v>
      </c>
      <c r="I106" t="s">
        <v>392</v>
      </c>
      <c r="J106" t="s">
        <v>392</v>
      </c>
      <c r="K106" s="5">
        <v>0</v>
      </c>
      <c r="L106" s="5">
        <v>0</v>
      </c>
      <c r="M106" s="5">
        <v>0</v>
      </c>
      <c r="N106" s="4">
        <f t="shared" si="1"/>
        <v>0</v>
      </c>
    </row>
    <row r="107" spans="1:14">
      <c r="A107" s="6" t="s">
        <v>632</v>
      </c>
      <c r="B107" s="6" t="s">
        <v>108</v>
      </c>
      <c r="C107" s="6" t="s">
        <v>109</v>
      </c>
      <c r="D107" s="6" t="s">
        <v>264</v>
      </c>
      <c r="E107" s="6" t="s">
        <v>265</v>
      </c>
      <c r="F107" s="6" t="s">
        <v>633</v>
      </c>
      <c r="G107" s="6" t="s">
        <v>634</v>
      </c>
      <c r="H107" t="s">
        <v>90</v>
      </c>
      <c r="I107" t="s">
        <v>392</v>
      </c>
      <c r="J107" t="s">
        <v>392</v>
      </c>
      <c r="K107" s="5">
        <v>0</v>
      </c>
      <c r="L107" s="5">
        <v>0</v>
      </c>
      <c r="M107" s="5">
        <v>0</v>
      </c>
      <c r="N107" s="4">
        <f t="shared" si="1"/>
        <v>0</v>
      </c>
    </row>
    <row r="108" spans="1:14">
      <c r="A108" s="6" t="s">
        <v>635</v>
      </c>
      <c r="B108" s="6" t="s">
        <v>108</v>
      </c>
      <c r="C108" s="6" t="s">
        <v>109</v>
      </c>
      <c r="D108" s="6" t="s">
        <v>264</v>
      </c>
      <c r="E108" s="6" t="s">
        <v>265</v>
      </c>
      <c r="F108" s="6" t="s">
        <v>636</v>
      </c>
      <c r="G108" s="6" t="s">
        <v>634</v>
      </c>
      <c r="H108" t="s">
        <v>90</v>
      </c>
      <c r="I108" t="s">
        <v>392</v>
      </c>
      <c r="J108" t="s">
        <v>392</v>
      </c>
      <c r="K108" s="5">
        <v>0</v>
      </c>
      <c r="L108" s="5">
        <v>0</v>
      </c>
      <c r="M108" s="5">
        <v>0</v>
      </c>
      <c r="N108" s="4">
        <f t="shared" si="1"/>
        <v>0</v>
      </c>
    </row>
    <row r="109" spans="1:14">
      <c r="A109" s="6" t="s">
        <v>637</v>
      </c>
      <c r="B109" s="6" t="s">
        <v>108</v>
      </c>
      <c r="C109" s="6" t="s">
        <v>109</v>
      </c>
      <c r="D109" s="6" t="s">
        <v>267</v>
      </c>
      <c r="E109" s="6" t="s">
        <v>268</v>
      </c>
      <c r="F109" s="6" t="s">
        <v>638</v>
      </c>
      <c r="G109" s="6" t="s">
        <v>639</v>
      </c>
      <c r="H109" t="s">
        <v>90</v>
      </c>
      <c r="I109" t="s">
        <v>392</v>
      </c>
      <c r="J109" t="s">
        <v>392</v>
      </c>
      <c r="K109" s="5">
        <v>0</v>
      </c>
      <c r="L109" s="5">
        <v>0</v>
      </c>
      <c r="M109" s="5">
        <v>0</v>
      </c>
      <c r="N109" s="4">
        <f t="shared" si="1"/>
        <v>0</v>
      </c>
    </row>
    <row r="110" spans="1:14">
      <c r="A110" s="6" t="s">
        <v>640</v>
      </c>
      <c r="B110" s="6" t="s">
        <v>108</v>
      </c>
      <c r="C110" s="6" t="s">
        <v>109</v>
      </c>
      <c r="D110" s="6" t="s">
        <v>267</v>
      </c>
      <c r="E110" s="6" t="s">
        <v>268</v>
      </c>
      <c r="F110" s="6" t="s">
        <v>641</v>
      </c>
      <c r="G110" s="6" t="s">
        <v>639</v>
      </c>
      <c r="H110" t="s">
        <v>90</v>
      </c>
      <c r="I110" t="s">
        <v>392</v>
      </c>
      <c r="J110" t="s">
        <v>392</v>
      </c>
      <c r="K110" s="5">
        <v>0</v>
      </c>
      <c r="L110" s="5">
        <v>0</v>
      </c>
      <c r="M110" s="5">
        <v>0</v>
      </c>
      <c r="N110" s="4">
        <f t="shared" si="1"/>
        <v>0</v>
      </c>
    </row>
    <row r="111" spans="1:14">
      <c r="A111" s="6" t="s">
        <v>642</v>
      </c>
      <c r="B111" s="6" t="s">
        <v>111</v>
      </c>
      <c r="C111" s="6" t="s">
        <v>112</v>
      </c>
      <c r="D111" s="6" t="s">
        <v>270</v>
      </c>
      <c r="E111" s="6" t="s">
        <v>271</v>
      </c>
      <c r="F111" s="6" t="s">
        <v>643</v>
      </c>
      <c r="G111" s="6" t="s">
        <v>644</v>
      </c>
      <c r="H111" t="s">
        <v>90</v>
      </c>
      <c r="I111" t="s">
        <v>392</v>
      </c>
      <c r="J111" t="s">
        <v>392</v>
      </c>
      <c r="K111" s="5">
        <v>0</v>
      </c>
      <c r="L111" s="5">
        <v>0</v>
      </c>
      <c r="M111" s="5">
        <v>0</v>
      </c>
      <c r="N111" s="4">
        <f t="shared" si="1"/>
        <v>0</v>
      </c>
    </row>
    <row r="112" spans="1:14">
      <c r="A112" s="6" t="s">
        <v>645</v>
      </c>
      <c r="B112" s="6" t="s">
        <v>111</v>
      </c>
      <c r="C112" s="6" t="s">
        <v>112</v>
      </c>
      <c r="D112" s="6" t="s">
        <v>270</v>
      </c>
      <c r="E112" s="6" t="s">
        <v>271</v>
      </c>
      <c r="F112" s="6" t="s">
        <v>646</v>
      </c>
      <c r="G112" s="6" t="s">
        <v>644</v>
      </c>
      <c r="H112" t="s">
        <v>90</v>
      </c>
      <c r="I112" t="s">
        <v>392</v>
      </c>
      <c r="J112" t="s">
        <v>392</v>
      </c>
      <c r="K112" s="5">
        <v>0</v>
      </c>
      <c r="L112" s="5">
        <v>0</v>
      </c>
      <c r="M112" s="5">
        <v>0</v>
      </c>
      <c r="N112" s="4">
        <f t="shared" si="1"/>
        <v>0</v>
      </c>
    </row>
    <row r="113" spans="1:14">
      <c r="A113" s="6" t="s">
        <v>647</v>
      </c>
      <c r="B113" s="6" t="s">
        <v>111</v>
      </c>
      <c r="C113" s="6" t="s">
        <v>112</v>
      </c>
      <c r="D113" s="6" t="s">
        <v>273</v>
      </c>
      <c r="E113" s="6" t="s">
        <v>274</v>
      </c>
      <c r="F113" s="6" t="s">
        <v>648</v>
      </c>
      <c r="G113" s="6" t="s">
        <v>649</v>
      </c>
      <c r="H113" t="s">
        <v>90</v>
      </c>
      <c r="I113" t="s">
        <v>392</v>
      </c>
      <c r="J113" t="s">
        <v>392</v>
      </c>
      <c r="K113" s="5">
        <v>0</v>
      </c>
      <c r="L113" s="5">
        <v>0</v>
      </c>
      <c r="M113" s="5">
        <v>0</v>
      </c>
      <c r="N113" s="4">
        <f t="shared" si="1"/>
        <v>0</v>
      </c>
    </row>
    <row r="114" spans="1:14">
      <c r="A114" s="6" t="s">
        <v>650</v>
      </c>
      <c r="B114" s="6" t="s">
        <v>111</v>
      </c>
      <c r="C114" s="6" t="s">
        <v>112</v>
      </c>
      <c r="D114" s="6" t="s">
        <v>276</v>
      </c>
      <c r="E114" s="6" t="s">
        <v>277</v>
      </c>
      <c r="F114" s="6" t="s">
        <v>651</v>
      </c>
      <c r="G114" s="6" t="s">
        <v>652</v>
      </c>
      <c r="H114" t="s">
        <v>90</v>
      </c>
      <c r="I114" t="s">
        <v>392</v>
      </c>
      <c r="J114" t="s">
        <v>392</v>
      </c>
      <c r="K114" s="5">
        <v>0</v>
      </c>
      <c r="L114" s="5">
        <v>0</v>
      </c>
      <c r="M114" s="5">
        <v>0</v>
      </c>
      <c r="N114" s="4">
        <f t="shared" si="1"/>
        <v>0</v>
      </c>
    </row>
    <row r="115" spans="1:14">
      <c r="A115" s="6" t="s">
        <v>653</v>
      </c>
      <c r="B115" s="6" t="s">
        <v>111</v>
      </c>
      <c r="C115" s="6" t="s">
        <v>112</v>
      </c>
      <c r="D115" s="6" t="s">
        <v>279</v>
      </c>
      <c r="E115" s="6" t="s">
        <v>280</v>
      </c>
      <c r="F115" s="6" t="s">
        <v>654</v>
      </c>
      <c r="G115" s="6" t="s">
        <v>655</v>
      </c>
      <c r="H115" t="s">
        <v>90</v>
      </c>
      <c r="I115" t="s">
        <v>392</v>
      </c>
      <c r="J115" t="s">
        <v>392</v>
      </c>
      <c r="K115" s="5">
        <v>0</v>
      </c>
      <c r="L115" s="5">
        <v>0</v>
      </c>
      <c r="M115" s="5">
        <v>0</v>
      </c>
      <c r="N115" s="4">
        <f t="shared" si="1"/>
        <v>0</v>
      </c>
    </row>
    <row r="116" spans="1:14">
      <c r="A116" s="6" t="s">
        <v>656</v>
      </c>
      <c r="B116" s="6" t="s">
        <v>111</v>
      </c>
      <c r="C116" s="6" t="s">
        <v>112</v>
      </c>
      <c r="D116" s="6" t="s">
        <v>141</v>
      </c>
      <c r="E116" s="6" t="s">
        <v>282</v>
      </c>
      <c r="F116" s="6" t="s">
        <v>657</v>
      </c>
      <c r="G116" s="6" t="s">
        <v>658</v>
      </c>
      <c r="H116" t="s">
        <v>90</v>
      </c>
      <c r="I116" t="s">
        <v>392</v>
      </c>
      <c r="J116" t="s">
        <v>392</v>
      </c>
      <c r="K116" s="5">
        <v>0</v>
      </c>
      <c r="L116" s="5">
        <v>0</v>
      </c>
      <c r="M116" s="5">
        <v>0</v>
      </c>
      <c r="N116" s="4">
        <f t="shared" si="1"/>
        <v>0</v>
      </c>
    </row>
    <row r="117" spans="1:14">
      <c r="A117" s="6" t="s">
        <v>659</v>
      </c>
      <c r="B117" s="6" t="s">
        <v>111</v>
      </c>
      <c r="C117" s="6" t="s">
        <v>112</v>
      </c>
      <c r="D117" s="6" t="s">
        <v>141</v>
      </c>
      <c r="E117" s="6" t="s">
        <v>282</v>
      </c>
      <c r="F117" s="6" t="s">
        <v>660</v>
      </c>
      <c r="G117" s="6" t="s">
        <v>658</v>
      </c>
      <c r="H117" t="s">
        <v>90</v>
      </c>
      <c r="I117" t="s">
        <v>392</v>
      </c>
      <c r="J117" t="s">
        <v>392</v>
      </c>
      <c r="K117" s="5">
        <v>0</v>
      </c>
      <c r="L117" s="5">
        <v>0</v>
      </c>
      <c r="M117" s="5">
        <v>0</v>
      </c>
      <c r="N117" s="4">
        <f t="shared" si="1"/>
        <v>0</v>
      </c>
    </row>
    <row r="118" spans="1:14">
      <c r="A118" s="6" t="s">
        <v>661</v>
      </c>
      <c r="B118" s="6" t="s">
        <v>111</v>
      </c>
      <c r="C118" s="6" t="s">
        <v>112</v>
      </c>
      <c r="D118" s="6" t="s">
        <v>141</v>
      </c>
      <c r="E118" s="6" t="s">
        <v>282</v>
      </c>
      <c r="F118" s="6" t="s">
        <v>662</v>
      </c>
      <c r="G118" s="6" t="s">
        <v>658</v>
      </c>
      <c r="H118" t="s">
        <v>90</v>
      </c>
      <c r="I118" t="s">
        <v>392</v>
      </c>
      <c r="J118" t="s">
        <v>392</v>
      </c>
      <c r="K118" s="5">
        <v>0</v>
      </c>
      <c r="L118" s="5">
        <v>0</v>
      </c>
      <c r="M118" s="5">
        <v>0</v>
      </c>
      <c r="N118" s="4">
        <f t="shared" si="1"/>
        <v>0</v>
      </c>
    </row>
    <row r="119" spans="1:14">
      <c r="A119" s="6" t="s">
        <v>663</v>
      </c>
      <c r="B119" s="6" t="s">
        <v>114</v>
      </c>
      <c r="C119" s="6" t="s">
        <v>115</v>
      </c>
      <c r="D119" s="6" t="s">
        <v>284</v>
      </c>
      <c r="E119" s="6" t="s">
        <v>285</v>
      </c>
      <c r="F119" s="6" t="s">
        <v>664</v>
      </c>
      <c r="G119" s="6" t="s">
        <v>482</v>
      </c>
      <c r="H119" t="s">
        <v>90</v>
      </c>
      <c r="I119" t="s">
        <v>392</v>
      </c>
      <c r="J119" t="s">
        <v>392</v>
      </c>
      <c r="K119" s="5">
        <v>0</v>
      </c>
      <c r="L119" s="5">
        <v>0</v>
      </c>
      <c r="M119" s="5">
        <v>0</v>
      </c>
      <c r="N119" s="4">
        <f t="shared" si="1"/>
        <v>0</v>
      </c>
    </row>
    <row r="120" spans="1:14">
      <c r="A120" s="6" t="s">
        <v>665</v>
      </c>
      <c r="B120" s="6" t="s">
        <v>114</v>
      </c>
      <c r="C120" s="6" t="s">
        <v>115</v>
      </c>
      <c r="D120" s="6" t="s">
        <v>284</v>
      </c>
      <c r="E120" s="6" t="s">
        <v>285</v>
      </c>
      <c r="F120" s="6" t="s">
        <v>666</v>
      </c>
      <c r="G120" s="6" t="s">
        <v>482</v>
      </c>
      <c r="H120" t="s">
        <v>90</v>
      </c>
      <c r="I120" t="s">
        <v>392</v>
      </c>
      <c r="J120" t="s">
        <v>392</v>
      </c>
      <c r="K120" s="5">
        <v>0</v>
      </c>
      <c r="L120" s="5">
        <v>0</v>
      </c>
      <c r="M120" s="5">
        <v>0</v>
      </c>
      <c r="N120" s="4">
        <f t="shared" si="1"/>
        <v>0</v>
      </c>
    </row>
    <row r="121" spans="1:14">
      <c r="A121" s="6" t="s">
        <v>667</v>
      </c>
      <c r="B121" s="6" t="s">
        <v>114</v>
      </c>
      <c r="C121" s="6" t="s">
        <v>115</v>
      </c>
      <c r="D121" s="6" t="s">
        <v>287</v>
      </c>
      <c r="E121" s="6" t="s">
        <v>288</v>
      </c>
      <c r="F121" s="6" t="s">
        <v>668</v>
      </c>
      <c r="G121" s="6" t="s">
        <v>669</v>
      </c>
      <c r="H121" t="s">
        <v>90</v>
      </c>
      <c r="I121" t="s">
        <v>392</v>
      </c>
      <c r="J121" t="s">
        <v>392</v>
      </c>
      <c r="K121" s="5">
        <v>0</v>
      </c>
      <c r="L121" s="5">
        <v>0</v>
      </c>
      <c r="M121" s="5">
        <v>0</v>
      </c>
      <c r="N121" s="4">
        <f t="shared" si="1"/>
        <v>0</v>
      </c>
    </row>
    <row r="122" spans="1:14">
      <c r="A122" s="6" t="s">
        <v>670</v>
      </c>
      <c r="B122" s="6" t="s">
        <v>114</v>
      </c>
      <c r="C122" s="6" t="s">
        <v>115</v>
      </c>
      <c r="D122" s="6" t="s">
        <v>290</v>
      </c>
      <c r="E122" s="6" t="s">
        <v>291</v>
      </c>
      <c r="F122" s="6" t="s">
        <v>671</v>
      </c>
      <c r="G122" s="6" t="s">
        <v>672</v>
      </c>
      <c r="H122" t="s">
        <v>90</v>
      </c>
      <c r="I122" t="s">
        <v>392</v>
      </c>
      <c r="J122" t="s">
        <v>392</v>
      </c>
      <c r="K122" s="5">
        <v>0</v>
      </c>
      <c r="L122" s="5">
        <v>0</v>
      </c>
      <c r="M122" s="5">
        <v>0</v>
      </c>
      <c r="N122" s="4">
        <f t="shared" si="1"/>
        <v>0</v>
      </c>
    </row>
    <row r="123" spans="1:14">
      <c r="A123" s="6" t="s">
        <v>673</v>
      </c>
      <c r="B123" s="6" t="s">
        <v>114</v>
      </c>
      <c r="C123" s="6" t="s">
        <v>115</v>
      </c>
      <c r="D123" s="6" t="s">
        <v>290</v>
      </c>
      <c r="E123" s="6" t="s">
        <v>291</v>
      </c>
      <c r="F123" s="6" t="s">
        <v>674</v>
      </c>
      <c r="G123" s="6" t="s">
        <v>672</v>
      </c>
      <c r="H123" t="s">
        <v>90</v>
      </c>
      <c r="I123" t="s">
        <v>392</v>
      </c>
      <c r="J123" t="s">
        <v>392</v>
      </c>
      <c r="K123" s="5">
        <v>0</v>
      </c>
      <c r="L123" s="5">
        <v>0</v>
      </c>
      <c r="M123" s="5">
        <v>0</v>
      </c>
      <c r="N123" s="4">
        <f t="shared" si="1"/>
        <v>0</v>
      </c>
    </row>
    <row r="124" spans="1:14">
      <c r="A124" s="6" t="s">
        <v>675</v>
      </c>
      <c r="B124" s="6" t="s">
        <v>114</v>
      </c>
      <c r="C124" s="6" t="s">
        <v>115</v>
      </c>
      <c r="D124" s="6" t="s">
        <v>290</v>
      </c>
      <c r="E124" s="6" t="s">
        <v>291</v>
      </c>
      <c r="F124" s="6" t="s">
        <v>676</v>
      </c>
      <c r="G124" s="6" t="s">
        <v>672</v>
      </c>
      <c r="H124" t="s">
        <v>90</v>
      </c>
      <c r="I124" t="s">
        <v>392</v>
      </c>
      <c r="J124" t="s">
        <v>392</v>
      </c>
      <c r="K124" s="5">
        <v>0</v>
      </c>
      <c r="L124" s="5">
        <v>0</v>
      </c>
      <c r="M124" s="5">
        <v>0</v>
      </c>
      <c r="N124" s="4">
        <f t="shared" si="1"/>
        <v>0</v>
      </c>
    </row>
    <row r="125" spans="1:14">
      <c r="A125" s="6" t="s">
        <v>677</v>
      </c>
      <c r="B125" s="6" t="s">
        <v>114</v>
      </c>
      <c r="C125" s="6" t="s">
        <v>115</v>
      </c>
      <c r="D125" s="6" t="s">
        <v>293</v>
      </c>
      <c r="E125" s="6" t="s">
        <v>294</v>
      </c>
      <c r="F125" s="6" t="s">
        <v>678</v>
      </c>
      <c r="G125" s="6" t="s">
        <v>679</v>
      </c>
      <c r="H125" t="s">
        <v>90</v>
      </c>
      <c r="I125" t="s">
        <v>392</v>
      </c>
      <c r="J125" t="s">
        <v>392</v>
      </c>
      <c r="K125" s="5">
        <v>0</v>
      </c>
      <c r="L125" s="5">
        <v>0</v>
      </c>
      <c r="M125" s="5">
        <v>0</v>
      </c>
      <c r="N125" s="4">
        <f t="shared" si="1"/>
        <v>0</v>
      </c>
    </row>
    <row r="126" spans="1:14">
      <c r="A126" s="6" t="s">
        <v>680</v>
      </c>
      <c r="B126" s="6" t="s">
        <v>114</v>
      </c>
      <c r="C126" s="6" t="s">
        <v>115</v>
      </c>
      <c r="D126" s="6" t="s">
        <v>296</v>
      </c>
      <c r="E126" s="6" t="s">
        <v>297</v>
      </c>
      <c r="F126" s="6" t="s">
        <v>681</v>
      </c>
      <c r="G126" s="6" t="s">
        <v>682</v>
      </c>
      <c r="H126" t="s">
        <v>90</v>
      </c>
      <c r="I126" t="s">
        <v>392</v>
      </c>
      <c r="J126" t="s">
        <v>392</v>
      </c>
      <c r="K126" s="5">
        <v>0</v>
      </c>
      <c r="L126" s="5">
        <v>0</v>
      </c>
      <c r="M126" s="5">
        <v>0</v>
      </c>
      <c r="N126" s="4">
        <f t="shared" si="1"/>
        <v>0</v>
      </c>
    </row>
    <row r="127" spans="1:14">
      <c r="A127" s="6" t="s">
        <v>683</v>
      </c>
      <c r="B127" s="6" t="s">
        <v>114</v>
      </c>
      <c r="C127" s="6" t="s">
        <v>115</v>
      </c>
      <c r="D127" s="6" t="s">
        <v>296</v>
      </c>
      <c r="E127" s="6" t="s">
        <v>297</v>
      </c>
      <c r="F127" s="6" t="s">
        <v>684</v>
      </c>
      <c r="G127" s="6" t="s">
        <v>682</v>
      </c>
      <c r="H127" t="s">
        <v>90</v>
      </c>
      <c r="I127" t="s">
        <v>392</v>
      </c>
      <c r="J127" t="s">
        <v>392</v>
      </c>
      <c r="K127" s="5">
        <v>0</v>
      </c>
      <c r="L127" s="5">
        <v>0</v>
      </c>
      <c r="M127" s="5">
        <v>0</v>
      </c>
      <c r="N127" s="4">
        <f t="shared" si="1"/>
        <v>0</v>
      </c>
    </row>
    <row r="128" spans="1:14">
      <c r="A128" s="6" t="s">
        <v>685</v>
      </c>
      <c r="B128" s="6" t="s">
        <v>114</v>
      </c>
      <c r="C128" s="6" t="s">
        <v>115</v>
      </c>
      <c r="D128" s="6" t="s">
        <v>296</v>
      </c>
      <c r="E128" s="6" t="s">
        <v>297</v>
      </c>
      <c r="F128" s="6" t="s">
        <v>686</v>
      </c>
      <c r="G128" s="6" t="s">
        <v>682</v>
      </c>
      <c r="H128" t="s">
        <v>90</v>
      </c>
      <c r="I128" t="s">
        <v>392</v>
      </c>
      <c r="J128" t="s">
        <v>392</v>
      </c>
      <c r="K128" s="5">
        <v>0</v>
      </c>
      <c r="L128" s="5">
        <v>0</v>
      </c>
      <c r="M128" s="5">
        <v>0</v>
      </c>
      <c r="N128" s="4">
        <f t="shared" si="1"/>
        <v>0</v>
      </c>
    </row>
    <row r="129" spans="1:14">
      <c r="A129" s="6" t="s">
        <v>687</v>
      </c>
      <c r="B129" s="6" t="s">
        <v>117</v>
      </c>
      <c r="C129" s="6" t="s">
        <v>118</v>
      </c>
      <c r="D129" s="6" t="s">
        <v>299</v>
      </c>
      <c r="E129" s="6" t="s">
        <v>300</v>
      </c>
      <c r="F129" s="6" t="s">
        <v>688</v>
      </c>
      <c r="G129" s="6" t="s">
        <v>689</v>
      </c>
      <c r="H129" t="s">
        <v>90</v>
      </c>
      <c r="I129" t="s">
        <v>392</v>
      </c>
      <c r="J129" t="s">
        <v>392</v>
      </c>
      <c r="K129" s="5">
        <v>0</v>
      </c>
      <c r="L129" s="5">
        <v>0</v>
      </c>
      <c r="M129" s="5">
        <v>0</v>
      </c>
      <c r="N129" s="4">
        <f t="shared" si="1"/>
        <v>0</v>
      </c>
    </row>
    <row r="130" spans="1:14">
      <c r="A130" s="6" t="s">
        <v>690</v>
      </c>
      <c r="B130" s="6" t="s">
        <v>117</v>
      </c>
      <c r="C130" s="6" t="s">
        <v>118</v>
      </c>
      <c r="D130" s="6" t="s">
        <v>299</v>
      </c>
      <c r="E130" s="6" t="s">
        <v>300</v>
      </c>
      <c r="F130" s="6" t="s">
        <v>691</v>
      </c>
      <c r="G130" s="6" t="s">
        <v>689</v>
      </c>
      <c r="H130" t="s">
        <v>90</v>
      </c>
      <c r="I130" t="s">
        <v>392</v>
      </c>
      <c r="J130" t="s">
        <v>392</v>
      </c>
      <c r="K130" s="5">
        <v>0</v>
      </c>
      <c r="L130" s="5">
        <v>0</v>
      </c>
      <c r="M130" s="5">
        <v>0</v>
      </c>
      <c r="N130" s="4">
        <f t="shared" si="1"/>
        <v>0</v>
      </c>
    </row>
    <row r="131" spans="1:14">
      <c r="A131" s="6" t="s">
        <v>692</v>
      </c>
      <c r="B131" s="6" t="s">
        <v>117</v>
      </c>
      <c r="C131" s="6" t="s">
        <v>118</v>
      </c>
      <c r="D131" s="6" t="s">
        <v>299</v>
      </c>
      <c r="E131" s="6" t="s">
        <v>300</v>
      </c>
      <c r="F131" s="6" t="s">
        <v>693</v>
      </c>
      <c r="G131" s="6" t="s">
        <v>689</v>
      </c>
      <c r="H131" t="s">
        <v>90</v>
      </c>
      <c r="I131" t="s">
        <v>392</v>
      </c>
      <c r="J131" t="s">
        <v>392</v>
      </c>
      <c r="K131" s="5">
        <v>0</v>
      </c>
      <c r="L131" s="5">
        <v>0</v>
      </c>
      <c r="M131" s="5">
        <v>0</v>
      </c>
      <c r="N131" s="4">
        <f t="shared" si="1"/>
        <v>0</v>
      </c>
    </row>
    <row r="132" spans="1:14">
      <c r="A132" s="6" t="s">
        <v>694</v>
      </c>
      <c r="B132" s="6" t="s">
        <v>117</v>
      </c>
      <c r="C132" s="6" t="s">
        <v>118</v>
      </c>
      <c r="D132" s="6" t="s">
        <v>299</v>
      </c>
      <c r="E132" s="6" t="s">
        <v>300</v>
      </c>
      <c r="F132" s="6" t="s">
        <v>695</v>
      </c>
      <c r="G132" s="6" t="s">
        <v>689</v>
      </c>
      <c r="H132" t="s">
        <v>90</v>
      </c>
      <c r="I132" t="s">
        <v>392</v>
      </c>
      <c r="J132" t="s">
        <v>392</v>
      </c>
      <c r="K132" s="5">
        <v>0</v>
      </c>
      <c r="L132" s="5">
        <v>0</v>
      </c>
      <c r="M132" s="5">
        <v>0</v>
      </c>
      <c r="N132" s="4">
        <f t="shared" si="1"/>
        <v>0</v>
      </c>
    </row>
    <row r="133" spans="1:14">
      <c r="A133" s="6" t="s">
        <v>696</v>
      </c>
      <c r="B133" s="6" t="s">
        <v>117</v>
      </c>
      <c r="C133" s="6" t="s">
        <v>118</v>
      </c>
      <c r="D133" s="6" t="s">
        <v>299</v>
      </c>
      <c r="E133" s="6" t="s">
        <v>300</v>
      </c>
      <c r="F133" s="6" t="s">
        <v>697</v>
      </c>
      <c r="G133" s="6" t="s">
        <v>689</v>
      </c>
      <c r="H133" t="s">
        <v>90</v>
      </c>
      <c r="I133" t="s">
        <v>392</v>
      </c>
      <c r="J133" t="s">
        <v>392</v>
      </c>
      <c r="K133" s="5">
        <v>0</v>
      </c>
      <c r="L133" s="5">
        <v>0</v>
      </c>
      <c r="M133" s="5">
        <v>0</v>
      </c>
      <c r="N133" s="4">
        <f t="shared" ref="N133:N196" si="2">K133-L133</f>
        <v>0</v>
      </c>
    </row>
    <row r="134" spans="1:14">
      <c r="A134" s="6" t="s">
        <v>698</v>
      </c>
      <c r="B134" s="6" t="s">
        <v>117</v>
      </c>
      <c r="C134" s="6" t="s">
        <v>118</v>
      </c>
      <c r="D134" s="6" t="s">
        <v>302</v>
      </c>
      <c r="E134" s="6" t="s">
        <v>303</v>
      </c>
      <c r="F134" s="6" t="s">
        <v>699</v>
      </c>
      <c r="G134" s="6" t="s">
        <v>700</v>
      </c>
      <c r="H134" t="s">
        <v>90</v>
      </c>
      <c r="I134" t="s">
        <v>392</v>
      </c>
      <c r="J134" t="s">
        <v>392</v>
      </c>
      <c r="K134" s="5">
        <v>0</v>
      </c>
      <c r="L134" s="5">
        <v>0</v>
      </c>
      <c r="M134" s="5">
        <v>0</v>
      </c>
      <c r="N134" s="4">
        <f t="shared" si="2"/>
        <v>0</v>
      </c>
    </row>
    <row r="135" spans="1:14">
      <c r="A135" s="6" t="s">
        <v>701</v>
      </c>
      <c r="B135" s="6" t="s">
        <v>117</v>
      </c>
      <c r="C135" s="6" t="s">
        <v>118</v>
      </c>
      <c r="D135" s="6" t="s">
        <v>305</v>
      </c>
      <c r="E135" s="6" t="s">
        <v>306</v>
      </c>
      <c r="F135" s="6" t="s">
        <v>702</v>
      </c>
      <c r="G135" s="6" t="s">
        <v>703</v>
      </c>
      <c r="H135" t="s">
        <v>90</v>
      </c>
      <c r="I135" t="s">
        <v>392</v>
      </c>
      <c r="J135" t="s">
        <v>392</v>
      </c>
      <c r="K135" s="5">
        <v>0</v>
      </c>
      <c r="L135" s="5">
        <v>0</v>
      </c>
      <c r="M135" s="5">
        <v>0</v>
      </c>
      <c r="N135" s="4">
        <f t="shared" si="2"/>
        <v>0</v>
      </c>
    </row>
    <row r="136" spans="1:14">
      <c r="A136" s="6" t="s">
        <v>704</v>
      </c>
      <c r="B136" s="6" t="s">
        <v>117</v>
      </c>
      <c r="C136" s="6" t="s">
        <v>118</v>
      </c>
      <c r="D136" s="6" t="s">
        <v>305</v>
      </c>
      <c r="E136" s="6" t="s">
        <v>306</v>
      </c>
      <c r="F136" s="6" t="s">
        <v>705</v>
      </c>
      <c r="G136" s="6" t="s">
        <v>703</v>
      </c>
      <c r="H136" t="s">
        <v>90</v>
      </c>
      <c r="I136" t="s">
        <v>392</v>
      </c>
      <c r="J136" t="s">
        <v>392</v>
      </c>
      <c r="K136" s="5">
        <v>0</v>
      </c>
      <c r="L136" s="5">
        <v>0</v>
      </c>
      <c r="M136" s="5">
        <v>0</v>
      </c>
      <c r="N136" s="4">
        <f t="shared" si="2"/>
        <v>0</v>
      </c>
    </row>
    <row r="137" spans="1:14">
      <c r="A137" s="6" t="s">
        <v>706</v>
      </c>
      <c r="B137" s="6" t="s">
        <v>117</v>
      </c>
      <c r="C137" s="6" t="s">
        <v>118</v>
      </c>
      <c r="D137" s="6" t="s">
        <v>305</v>
      </c>
      <c r="E137" s="6" t="s">
        <v>306</v>
      </c>
      <c r="F137" s="6" t="s">
        <v>707</v>
      </c>
      <c r="G137" s="6" t="s">
        <v>703</v>
      </c>
      <c r="H137" t="s">
        <v>90</v>
      </c>
      <c r="I137" t="s">
        <v>392</v>
      </c>
      <c r="J137" t="s">
        <v>392</v>
      </c>
      <c r="K137" s="5">
        <v>0</v>
      </c>
      <c r="L137" s="5">
        <v>0</v>
      </c>
      <c r="M137" s="5">
        <v>0</v>
      </c>
      <c r="N137" s="4">
        <f t="shared" si="2"/>
        <v>0</v>
      </c>
    </row>
    <row r="138" spans="1:14">
      <c r="A138" s="6" t="s">
        <v>708</v>
      </c>
      <c r="B138" s="6" t="s">
        <v>120</v>
      </c>
      <c r="C138" s="6" t="s">
        <v>121</v>
      </c>
      <c r="D138" s="6" t="s">
        <v>308</v>
      </c>
      <c r="E138" s="6" t="s">
        <v>309</v>
      </c>
      <c r="F138" s="6" t="s">
        <v>709</v>
      </c>
      <c r="G138" s="6" t="s">
        <v>710</v>
      </c>
      <c r="H138" t="s">
        <v>90</v>
      </c>
      <c r="I138" t="s">
        <v>392</v>
      </c>
      <c r="J138" t="s">
        <v>392</v>
      </c>
      <c r="K138" s="5">
        <v>0</v>
      </c>
      <c r="L138" s="5">
        <v>0</v>
      </c>
      <c r="M138" s="5">
        <v>0</v>
      </c>
      <c r="N138" s="4">
        <f t="shared" si="2"/>
        <v>0</v>
      </c>
    </row>
    <row r="139" spans="1:14">
      <c r="A139" s="6" t="s">
        <v>711</v>
      </c>
      <c r="B139" s="6" t="s">
        <v>120</v>
      </c>
      <c r="C139" s="6" t="s">
        <v>121</v>
      </c>
      <c r="D139" s="6" t="s">
        <v>308</v>
      </c>
      <c r="E139" s="6" t="s">
        <v>309</v>
      </c>
      <c r="F139" s="6" t="s">
        <v>712</v>
      </c>
      <c r="G139" s="6" t="s">
        <v>710</v>
      </c>
      <c r="H139" t="s">
        <v>90</v>
      </c>
      <c r="I139" t="s">
        <v>392</v>
      </c>
      <c r="J139" t="s">
        <v>392</v>
      </c>
      <c r="K139" s="5">
        <v>0</v>
      </c>
      <c r="L139" s="5">
        <v>0</v>
      </c>
      <c r="M139" s="5">
        <v>0</v>
      </c>
      <c r="N139" s="4">
        <f t="shared" si="2"/>
        <v>0</v>
      </c>
    </row>
    <row r="140" spans="1:14">
      <c r="A140" s="6" t="s">
        <v>713</v>
      </c>
      <c r="B140" s="6" t="s">
        <v>120</v>
      </c>
      <c r="C140" s="6" t="s">
        <v>121</v>
      </c>
      <c r="D140" s="6" t="s">
        <v>308</v>
      </c>
      <c r="E140" s="6" t="s">
        <v>309</v>
      </c>
      <c r="F140" s="6" t="s">
        <v>714</v>
      </c>
      <c r="G140" s="6" t="s">
        <v>710</v>
      </c>
      <c r="H140" t="s">
        <v>90</v>
      </c>
      <c r="I140" t="s">
        <v>392</v>
      </c>
      <c r="J140" t="s">
        <v>392</v>
      </c>
      <c r="K140" s="5">
        <v>0</v>
      </c>
      <c r="L140" s="5">
        <v>0</v>
      </c>
      <c r="M140" s="5">
        <v>0</v>
      </c>
      <c r="N140" s="4">
        <f t="shared" si="2"/>
        <v>0</v>
      </c>
    </row>
    <row r="141" spans="1:14">
      <c r="A141" s="6" t="s">
        <v>715</v>
      </c>
      <c r="B141" s="6" t="s">
        <v>120</v>
      </c>
      <c r="C141" s="6" t="s">
        <v>121</v>
      </c>
      <c r="D141" s="6" t="s">
        <v>308</v>
      </c>
      <c r="E141" s="6" t="s">
        <v>309</v>
      </c>
      <c r="F141" s="6" t="s">
        <v>716</v>
      </c>
      <c r="G141" s="6" t="s">
        <v>710</v>
      </c>
      <c r="H141" t="s">
        <v>90</v>
      </c>
      <c r="I141" t="s">
        <v>392</v>
      </c>
      <c r="J141" t="s">
        <v>392</v>
      </c>
      <c r="K141" s="5">
        <v>0</v>
      </c>
      <c r="L141" s="5">
        <v>0</v>
      </c>
      <c r="M141" s="5">
        <v>0</v>
      </c>
      <c r="N141" s="4">
        <f t="shared" si="2"/>
        <v>0</v>
      </c>
    </row>
    <row r="142" spans="1:14">
      <c r="A142" s="6" t="s">
        <v>717</v>
      </c>
      <c r="B142" s="6" t="s">
        <v>120</v>
      </c>
      <c r="C142" s="6" t="s">
        <v>121</v>
      </c>
      <c r="D142" s="6" t="s">
        <v>308</v>
      </c>
      <c r="E142" s="6" t="s">
        <v>309</v>
      </c>
      <c r="F142" s="6" t="s">
        <v>718</v>
      </c>
      <c r="G142" s="6" t="s">
        <v>710</v>
      </c>
      <c r="H142" t="s">
        <v>90</v>
      </c>
      <c r="I142" t="s">
        <v>392</v>
      </c>
      <c r="J142" t="s">
        <v>392</v>
      </c>
      <c r="K142" s="5">
        <v>0</v>
      </c>
      <c r="L142" s="5">
        <v>0</v>
      </c>
      <c r="M142" s="5">
        <v>0</v>
      </c>
      <c r="N142" s="4">
        <f t="shared" si="2"/>
        <v>0</v>
      </c>
    </row>
    <row r="143" spans="1:14">
      <c r="A143" s="6" t="s">
        <v>719</v>
      </c>
      <c r="B143" s="6" t="s">
        <v>120</v>
      </c>
      <c r="C143" s="6" t="s">
        <v>121</v>
      </c>
      <c r="D143" s="6" t="s">
        <v>308</v>
      </c>
      <c r="E143" s="6" t="s">
        <v>309</v>
      </c>
      <c r="F143" s="6" t="s">
        <v>720</v>
      </c>
      <c r="G143" s="6" t="s">
        <v>710</v>
      </c>
      <c r="H143" t="s">
        <v>90</v>
      </c>
      <c r="I143" t="s">
        <v>392</v>
      </c>
      <c r="J143" t="s">
        <v>392</v>
      </c>
      <c r="K143" s="5">
        <v>0</v>
      </c>
      <c r="L143" s="5">
        <v>0</v>
      </c>
      <c r="M143" s="5">
        <v>0</v>
      </c>
      <c r="N143" s="4">
        <f t="shared" si="2"/>
        <v>0</v>
      </c>
    </row>
    <row r="144" spans="1:14">
      <c r="A144" s="6" t="s">
        <v>721</v>
      </c>
      <c r="B144" s="6" t="s">
        <v>120</v>
      </c>
      <c r="C144" s="6" t="s">
        <v>121</v>
      </c>
      <c r="D144" s="6" t="s">
        <v>311</v>
      </c>
      <c r="E144" s="6" t="s">
        <v>312</v>
      </c>
      <c r="F144" s="6" t="s">
        <v>722</v>
      </c>
      <c r="G144" s="6" t="s">
        <v>723</v>
      </c>
      <c r="H144" t="s">
        <v>90</v>
      </c>
      <c r="I144" t="s">
        <v>392</v>
      </c>
      <c r="J144" t="s">
        <v>392</v>
      </c>
      <c r="K144" s="5">
        <v>0</v>
      </c>
      <c r="L144" s="5">
        <v>0</v>
      </c>
      <c r="M144" s="5">
        <v>0</v>
      </c>
      <c r="N144" s="4">
        <f t="shared" si="2"/>
        <v>0</v>
      </c>
    </row>
    <row r="145" spans="1:14">
      <c r="A145" s="6" t="s">
        <v>724</v>
      </c>
      <c r="B145" s="6" t="s">
        <v>120</v>
      </c>
      <c r="C145" s="6" t="s">
        <v>121</v>
      </c>
      <c r="D145" s="6" t="s">
        <v>311</v>
      </c>
      <c r="E145" s="6" t="s">
        <v>312</v>
      </c>
      <c r="F145" s="6" t="s">
        <v>725</v>
      </c>
      <c r="G145" s="6" t="s">
        <v>723</v>
      </c>
      <c r="H145" t="s">
        <v>90</v>
      </c>
      <c r="I145" t="s">
        <v>392</v>
      </c>
      <c r="J145" t="s">
        <v>392</v>
      </c>
      <c r="K145" s="5">
        <v>0</v>
      </c>
      <c r="L145" s="5">
        <v>0</v>
      </c>
      <c r="M145" s="5">
        <v>0</v>
      </c>
      <c r="N145" s="4">
        <f t="shared" si="2"/>
        <v>0</v>
      </c>
    </row>
    <row r="146" spans="1:14">
      <c r="A146" s="6" t="s">
        <v>726</v>
      </c>
      <c r="B146" s="6" t="s">
        <v>120</v>
      </c>
      <c r="C146" s="6" t="s">
        <v>121</v>
      </c>
      <c r="D146" s="6" t="s">
        <v>311</v>
      </c>
      <c r="E146" s="6" t="s">
        <v>312</v>
      </c>
      <c r="F146" s="6" t="s">
        <v>727</v>
      </c>
      <c r="G146" s="6" t="s">
        <v>723</v>
      </c>
      <c r="H146" t="s">
        <v>90</v>
      </c>
      <c r="I146" t="s">
        <v>392</v>
      </c>
      <c r="J146" t="s">
        <v>392</v>
      </c>
      <c r="K146" s="5">
        <v>0</v>
      </c>
      <c r="L146" s="5">
        <v>0</v>
      </c>
      <c r="M146" s="5">
        <v>0</v>
      </c>
      <c r="N146" s="4">
        <f t="shared" si="2"/>
        <v>0</v>
      </c>
    </row>
    <row r="147" spans="1:14">
      <c r="A147" s="6" t="s">
        <v>728</v>
      </c>
      <c r="B147" s="6" t="s">
        <v>120</v>
      </c>
      <c r="C147" s="6" t="s">
        <v>121</v>
      </c>
      <c r="D147" s="6" t="s">
        <v>314</v>
      </c>
      <c r="E147" s="6" t="s">
        <v>315</v>
      </c>
      <c r="F147" s="6" t="s">
        <v>729</v>
      </c>
      <c r="G147" s="6" t="s">
        <v>730</v>
      </c>
      <c r="H147" t="s">
        <v>90</v>
      </c>
      <c r="I147" t="s">
        <v>392</v>
      </c>
      <c r="J147" t="s">
        <v>392</v>
      </c>
      <c r="K147" s="5">
        <v>0</v>
      </c>
      <c r="L147" s="5">
        <v>0</v>
      </c>
      <c r="M147" s="5">
        <v>0</v>
      </c>
      <c r="N147" s="4">
        <f t="shared" si="2"/>
        <v>0</v>
      </c>
    </row>
    <row r="148" spans="1:14">
      <c r="A148" s="6" t="s">
        <v>731</v>
      </c>
      <c r="B148" s="6" t="s">
        <v>120</v>
      </c>
      <c r="C148" s="6" t="s">
        <v>121</v>
      </c>
      <c r="D148" s="6" t="s">
        <v>314</v>
      </c>
      <c r="E148" s="6" t="s">
        <v>315</v>
      </c>
      <c r="F148" s="6" t="s">
        <v>732</v>
      </c>
      <c r="G148" s="6" t="s">
        <v>730</v>
      </c>
      <c r="H148" t="s">
        <v>90</v>
      </c>
      <c r="I148" t="s">
        <v>392</v>
      </c>
      <c r="J148" t="s">
        <v>392</v>
      </c>
      <c r="K148" s="5">
        <v>0</v>
      </c>
      <c r="L148" s="5">
        <v>0</v>
      </c>
      <c r="M148" s="5">
        <v>0</v>
      </c>
      <c r="N148" s="4">
        <f t="shared" si="2"/>
        <v>0</v>
      </c>
    </row>
    <row r="149" spans="1:14">
      <c r="A149" s="6" t="s">
        <v>733</v>
      </c>
      <c r="B149" s="6" t="s">
        <v>123</v>
      </c>
      <c r="C149" s="6" t="s">
        <v>124</v>
      </c>
      <c r="D149" s="6" t="s">
        <v>317</v>
      </c>
      <c r="E149" s="6" t="s">
        <v>318</v>
      </c>
      <c r="F149" s="6" t="s">
        <v>734</v>
      </c>
      <c r="G149" s="6" t="s">
        <v>735</v>
      </c>
      <c r="H149" t="s">
        <v>90</v>
      </c>
      <c r="I149" t="s">
        <v>392</v>
      </c>
      <c r="J149" t="s">
        <v>392</v>
      </c>
      <c r="K149" s="5">
        <v>0</v>
      </c>
      <c r="L149" s="5">
        <v>0</v>
      </c>
      <c r="M149" s="5">
        <v>0</v>
      </c>
      <c r="N149" s="4">
        <f t="shared" si="2"/>
        <v>0</v>
      </c>
    </row>
    <row r="150" spans="1:14">
      <c r="A150" s="6" t="s">
        <v>736</v>
      </c>
      <c r="B150" s="6" t="s">
        <v>123</v>
      </c>
      <c r="C150" s="6" t="s">
        <v>124</v>
      </c>
      <c r="D150" s="6" t="s">
        <v>317</v>
      </c>
      <c r="E150" s="6" t="s">
        <v>318</v>
      </c>
      <c r="F150" s="6" t="s">
        <v>737</v>
      </c>
      <c r="G150" s="6" t="s">
        <v>735</v>
      </c>
      <c r="H150" t="s">
        <v>90</v>
      </c>
      <c r="I150" t="s">
        <v>392</v>
      </c>
      <c r="J150" t="s">
        <v>392</v>
      </c>
      <c r="K150" s="5">
        <v>0</v>
      </c>
      <c r="L150" s="5">
        <v>0</v>
      </c>
      <c r="M150" s="5">
        <v>0</v>
      </c>
      <c r="N150" s="4">
        <f t="shared" si="2"/>
        <v>0</v>
      </c>
    </row>
    <row r="151" spans="1:14">
      <c r="A151" s="6" t="s">
        <v>738</v>
      </c>
      <c r="B151" s="6" t="s">
        <v>123</v>
      </c>
      <c r="C151" s="6" t="s">
        <v>124</v>
      </c>
      <c r="D151" s="6" t="s">
        <v>320</v>
      </c>
      <c r="E151" s="6" t="s">
        <v>321</v>
      </c>
      <c r="F151" s="6" t="s">
        <v>739</v>
      </c>
      <c r="G151" s="6" t="s">
        <v>740</v>
      </c>
      <c r="H151" t="s">
        <v>90</v>
      </c>
      <c r="I151" t="s">
        <v>392</v>
      </c>
      <c r="J151" t="s">
        <v>392</v>
      </c>
      <c r="K151" s="5">
        <v>0</v>
      </c>
      <c r="L151" s="5">
        <v>0</v>
      </c>
      <c r="M151" s="5">
        <v>0</v>
      </c>
      <c r="N151" s="4">
        <f t="shared" si="2"/>
        <v>0</v>
      </c>
    </row>
    <row r="152" spans="1:14">
      <c r="A152" s="6" t="s">
        <v>741</v>
      </c>
      <c r="B152" s="6" t="s">
        <v>123</v>
      </c>
      <c r="C152" s="6" t="s">
        <v>124</v>
      </c>
      <c r="D152" s="6" t="s">
        <v>320</v>
      </c>
      <c r="E152" s="6" t="s">
        <v>321</v>
      </c>
      <c r="F152" s="6" t="s">
        <v>742</v>
      </c>
      <c r="G152" s="6" t="s">
        <v>740</v>
      </c>
      <c r="H152" t="s">
        <v>90</v>
      </c>
      <c r="I152" t="s">
        <v>392</v>
      </c>
      <c r="J152" t="s">
        <v>392</v>
      </c>
      <c r="K152" s="5">
        <v>0</v>
      </c>
      <c r="L152" s="5">
        <v>0</v>
      </c>
      <c r="M152" s="5">
        <v>0</v>
      </c>
      <c r="N152" s="4">
        <f t="shared" si="2"/>
        <v>0</v>
      </c>
    </row>
    <row r="153" spans="1:14">
      <c r="A153" s="6" t="s">
        <v>743</v>
      </c>
      <c r="B153" s="6" t="s">
        <v>123</v>
      </c>
      <c r="C153" s="6" t="s">
        <v>124</v>
      </c>
      <c r="D153" s="6" t="s">
        <v>320</v>
      </c>
      <c r="E153" s="6" t="s">
        <v>321</v>
      </c>
      <c r="F153" s="6" t="s">
        <v>744</v>
      </c>
      <c r="G153" s="6" t="s">
        <v>740</v>
      </c>
      <c r="H153" t="s">
        <v>90</v>
      </c>
      <c r="I153" t="s">
        <v>392</v>
      </c>
      <c r="J153" t="s">
        <v>392</v>
      </c>
      <c r="K153" s="5">
        <v>0</v>
      </c>
      <c r="L153" s="5">
        <v>0</v>
      </c>
      <c r="M153" s="5">
        <v>0</v>
      </c>
      <c r="N153" s="4">
        <f t="shared" si="2"/>
        <v>0</v>
      </c>
    </row>
    <row r="154" spans="1:14">
      <c r="A154" s="6" t="s">
        <v>745</v>
      </c>
      <c r="B154" s="6" t="s">
        <v>123</v>
      </c>
      <c r="C154" s="6" t="s">
        <v>124</v>
      </c>
      <c r="D154" s="6" t="s">
        <v>323</v>
      </c>
      <c r="E154" s="6" t="s">
        <v>324</v>
      </c>
      <c r="F154" s="6" t="s">
        <v>746</v>
      </c>
      <c r="G154" s="6" t="s">
        <v>747</v>
      </c>
      <c r="H154" t="s">
        <v>90</v>
      </c>
      <c r="I154" t="s">
        <v>392</v>
      </c>
      <c r="J154" t="s">
        <v>392</v>
      </c>
      <c r="K154" s="5">
        <v>0</v>
      </c>
      <c r="L154" s="5">
        <v>0</v>
      </c>
      <c r="M154" s="5">
        <v>0</v>
      </c>
      <c r="N154" s="4">
        <f t="shared" si="2"/>
        <v>0</v>
      </c>
    </row>
    <row r="155" spans="1:14">
      <c r="A155" s="6" t="s">
        <v>748</v>
      </c>
      <c r="B155" s="6" t="s">
        <v>123</v>
      </c>
      <c r="C155" s="6" t="s">
        <v>124</v>
      </c>
      <c r="D155" s="6" t="s">
        <v>323</v>
      </c>
      <c r="E155" s="6" t="s">
        <v>324</v>
      </c>
      <c r="F155" s="6" t="s">
        <v>749</v>
      </c>
      <c r="G155" s="6" t="s">
        <v>747</v>
      </c>
      <c r="H155" t="s">
        <v>90</v>
      </c>
      <c r="I155" t="s">
        <v>392</v>
      </c>
      <c r="J155" t="s">
        <v>392</v>
      </c>
      <c r="K155" s="5">
        <v>0</v>
      </c>
      <c r="L155" s="5">
        <v>0</v>
      </c>
      <c r="M155" s="5">
        <v>0</v>
      </c>
      <c r="N155" s="4">
        <f t="shared" si="2"/>
        <v>0</v>
      </c>
    </row>
    <row r="156" spans="1:14">
      <c r="A156" s="6" t="s">
        <v>750</v>
      </c>
      <c r="B156" s="6" t="s">
        <v>123</v>
      </c>
      <c r="C156" s="6" t="s">
        <v>124</v>
      </c>
      <c r="D156" s="6" t="s">
        <v>323</v>
      </c>
      <c r="E156" s="6" t="s">
        <v>324</v>
      </c>
      <c r="F156" s="6" t="s">
        <v>751</v>
      </c>
      <c r="G156" s="6" t="s">
        <v>747</v>
      </c>
      <c r="H156" t="s">
        <v>90</v>
      </c>
      <c r="I156" t="s">
        <v>392</v>
      </c>
      <c r="J156" t="s">
        <v>392</v>
      </c>
      <c r="K156" s="5">
        <v>0</v>
      </c>
      <c r="L156" s="5">
        <v>0</v>
      </c>
      <c r="M156" s="5">
        <v>0</v>
      </c>
      <c r="N156" s="4">
        <f t="shared" si="2"/>
        <v>0</v>
      </c>
    </row>
    <row r="157" spans="1:14">
      <c r="A157" s="6" t="s">
        <v>752</v>
      </c>
      <c r="B157" s="6" t="s">
        <v>126</v>
      </c>
      <c r="C157" s="6" t="s">
        <v>127</v>
      </c>
      <c r="D157" s="6" t="s">
        <v>326</v>
      </c>
      <c r="E157" s="6" t="s">
        <v>327</v>
      </c>
      <c r="F157" s="6" t="s">
        <v>753</v>
      </c>
      <c r="G157" s="6" t="s">
        <v>754</v>
      </c>
      <c r="H157" t="s">
        <v>90</v>
      </c>
      <c r="I157" t="s">
        <v>392</v>
      </c>
      <c r="J157" t="s">
        <v>392</v>
      </c>
      <c r="K157" s="5">
        <v>0</v>
      </c>
      <c r="L157" s="5">
        <v>0</v>
      </c>
      <c r="M157" s="5">
        <v>0</v>
      </c>
      <c r="N157" s="4">
        <f t="shared" si="2"/>
        <v>0</v>
      </c>
    </row>
    <row r="158" spans="1:14">
      <c r="A158" s="6" t="s">
        <v>755</v>
      </c>
      <c r="B158" s="6" t="s">
        <v>126</v>
      </c>
      <c r="C158" s="6" t="s">
        <v>127</v>
      </c>
      <c r="D158" s="6" t="s">
        <v>326</v>
      </c>
      <c r="E158" s="6" t="s">
        <v>327</v>
      </c>
      <c r="F158" s="6" t="s">
        <v>756</v>
      </c>
      <c r="G158" s="6" t="s">
        <v>754</v>
      </c>
      <c r="H158" t="s">
        <v>90</v>
      </c>
      <c r="I158" t="s">
        <v>392</v>
      </c>
      <c r="J158" t="s">
        <v>392</v>
      </c>
      <c r="K158" s="5">
        <v>0</v>
      </c>
      <c r="L158" s="5">
        <v>0</v>
      </c>
      <c r="M158" s="5">
        <v>0</v>
      </c>
      <c r="N158" s="4">
        <f t="shared" si="2"/>
        <v>0</v>
      </c>
    </row>
    <row r="159" spans="1:14">
      <c r="A159" s="6" t="s">
        <v>757</v>
      </c>
      <c r="B159" s="6" t="s">
        <v>126</v>
      </c>
      <c r="C159" s="6" t="s">
        <v>127</v>
      </c>
      <c r="D159" s="6" t="s">
        <v>326</v>
      </c>
      <c r="E159" s="6" t="s">
        <v>327</v>
      </c>
      <c r="F159" s="6" t="s">
        <v>758</v>
      </c>
      <c r="G159" s="6" t="s">
        <v>754</v>
      </c>
      <c r="H159" t="s">
        <v>90</v>
      </c>
      <c r="I159" t="s">
        <v>392</v>
      </c>
      <c r="J159" t="s">
        <v>392</v>
      </c>
      <c r="K159" s="5">
        <v>0</v>
      </c>
      <c r="L159" s="5">
        <v>0</v>
      </c>
      <c r="M159" s="5">
        <v>0</v>
      </c>
      <c r="N159" s="4">
        <f t="shared" si="2"/>
        <v>0</v>
      </c>
    </row>
    <row r="160" spans="1:14">
      <c r="A160" s="6" t="s">
        <v>759</v>
      </c>
      <c r="B160" s="6" t="s">
        <v>126</v>
      </c>
      <c r="C160" s="6" t="s">
        <v>127</v>
      </c>
      <c r="D160" s="6" t="s">
        <v>326</v>
      </c>
      <c r="E160" s="6" t="s">
        <v>327</v>
      </c>
      <c r="F160" s="6" t="s">
        <v>760</v>
      </c>
      <c r="G160" s="6" t="s">
        <v>754</v>
      </c>
      <c r="H160" t="s">
        <v>90</v>
      </c>
      <c r="I160" t="s">
        <v>392</v>
      </c>
      <c r="J160" t="s">
        <v>392</v>
      </c>
      <c r="K160" s="5">
        <v>0</v>
      </c>
      <c r="L160" s="5">
        <v>0</v>
      </c>
      <c r="M160" s="5">
        <v>0</v>
      </c>
      <c r="N160" s="4">
        <f t="shared" si="2"/>
        <v>0</v>
      </c>
    </row>
    <row r="161" spans="1:14">
      <c r="A161" s="6" t="s">
        <v>761</v>
      </c>
      <c r="B161" s="6" t="s">
        <v>126</v>
      </c>
      <c r="C161" s="6" t="s">
        <v>127</v>
      </c>
      <c r="D161" s="6" t="s">
        <v>329</v>
      </c>
      <c r="E161" s="6" t="s">
        <v>330</v>
      </c>
      <c r="F161" s="6" t="s">
        <v>762</v>
      </c>
      <c r="G161" s="6" t="s">
        <v>763</v>
      </c>
      <c r="H161" t="s">
        <v>90</v>
      </c>
      <c r="I161" t="s">
        <v>392</v>
      </c>
      <c r="J161" t="s">
        <v>392</v>
      </c>
      <c r="K161" s="5">
        <v>0</v>
      </c>
      <c r="L161" s="5">
        <v>0</v>
      </c>
      <c r="M161" s="5">
        <v>0</v>
      </c>
      <c r="N161" s="4">
        <f t="shared" si="2"/>
        <v>0</v>
      </c>
    </row>
    <row r="162" spans="1:14">
      <c r="A162" s="6" t="s">
        <v>764</v>
      </c>
      <c r="B162" s="6" t="s">
        <v>126</v>
      </c>
      <c r="C162" s="6" t="s">
        <v>127</v>
      </c>
      <c r="D162" s="6" t="s">
        <v>329</v>
      </c>
      <c r="E162" s="6" t="s">
        <v>330</v>
      </c>
      <c r="F162" s="6" t="s">
        <v>765</v>
      </c>
      <c r="G162" s="6" t="s">
        <v>763</v>
      </c>
      <c r="H162" t="s">
        <v>90</v>
      </c>
      <c r="I162" t="s">
        <v>392</v>
      </c>
      <c r="J162" t="s">
        <v>392</v>
      </c>
      <c r="K162" s="5">
        <v>0</v>
      </c>
      <c r="L162" s="5">
        <v>0</v>
      </c>
      <c r="M162" s="5">
        <v>0</v>
      </c>
      <c r="N162" s="4">
        <f t="shared" si="2"/>
        <v>0</v>
      </c>
    </row>
    <row r="163" spans="1:14">
      <c r="A163" s="6" t="s">
        <v>766</v>
      </c>
      <c r="B163" s="6" t="s">
        <v>126</v>
      </c>
      <c r="C163" s="6" t="s">
        <v>127</v>
      </c>
      <c r="D163" s="6" t="s">
        <v>332</v>
      </c>
      <c r="E163" s="6" t="s">
        <v>333</v>
      </c>
      <c r="F163" s="6" t="s">
        <v>767</v>
      </c>
      <c r="G163" s="6" t="s">
        <v>768</v>
      </c>
      <c r="H163" t="s">
        <v>90</v>
      </c>
      <c r="I163" t="s">
        <v>392</v>
      </c>
      <c r="J163" t="s">
        <v>392</v>
      </c>
      <c r="K163" s="5">
        <v>0</v>
      </c>
      <c r="L163" s="5">
        <v>0</v>
      </c>
      <c r="M163" s="5">
        <v>0</v>
      </c>
      <c r="N163" s="4">
        <f t="shared" si="2"/>
        <v>0</v>
      </c>
    </row>
    <row r="164" spans="1:14">
      <c r="A164" s="6" t="s">
        <v>769</v>
      </c>
      <c r="B164" s="6" t="s">
        <v>126</v>
      </c>
      <c r="C164" s="6" t="s">
        <v>127</v>
      </c>
      <c r="D164" s="6" t="s">
        <v>332</v>
      </c>
      <c r="E164" s="6" t="s">
        <v>333</v>
      </c>
      <c r="F164" s="6" t="s">
        <v>770</v>
      </c>
      <c r="G164" s="6" t="s">
        <v>768</v>
      </c>
      <c r="H164" t="s">
        <v>90</v>
      </c>
      <c r="I164" t="s">
        <v>392</v>
      </c>
      <c r="J164" t="s">
        <v>392</v>
      </c>
      <c r="K164" s="5">
        <v>0</v>
      </c>
      <c r="L164" s="5">
        <v>0</v>
      </c>
      <c r="M164" s="5">
        <v>0</v>
      </c>
      <c r="N164" s="4">
        <f t="shared" si="2"/>
        <v>0</v>
      </c>
    </row>
    <row r="165" spans="1:14">
      <c r="A165" s="6" t="s">
        <v>771</v>
      </c>
      <c r="B165" s="6" t="s">
        <v>129</v>
      </c>
      <c r="C165" s="6" t="s">
        <v>130</v>
      </c>
      <c r="D165" s="6" t="s">
        <v>240</v>
      </c>
      <c r="E165" s="6" t="s">
        <v>335</v>
      </c>
      <c r="F165" s="6" t="s">
        <v>772</v>
      </c>
      <c r="G165" s="6" t="s">
        <v>773</v>
      </c>
      <c r="H165" t="s">
        <v>90</v>
      </c>
      <c r="I165" t="s">
        <v>392</v>
      </c>
      <c r="J165" t="s">
        <v>392</v>
      </c>
      <c r="K165" s="5">
        <v>0</v>
      </c>
      <c r="L165" s="5">
        <v>0</v>
      </c>
      <c r="M165" s="5">
        <v>0</v>
      </c>
      <c r="N165" s="4">
        <f t="shared" si="2"/>
        <v>0</v>
      </c>
    </row>
    <row r="166" spans="1:14">
      <c r="A166" s="6" t="s">
        <v>774</v>
      </c>
      <c r="B166" s="6" t="s">
        <v>129</v>
      </c>
      <c r="C166" s="6" t="s">
        <v>130</v>
      </c>
      <c r="D166" s="6" t="s">
        <v>240</v>
      </c>
      <c r="E166" s="6" t="s">
        <v>335</v>
      </c>
      <c r="F166" s="6" t="s">
        <v>775</v>
      </c>
      <c r="G166" s="6" t="s">
        <v>773</v>
      </c>
      <c r="H166" t="s">
        <v>90</v>
      </c>
      <c r="I166" t="s">
        <v>392</v>
      </c>
      <c r="J166" t="s">
        <v>392</v>
      </c>
      <c r="K166" s="5">
        <v>0</v>
      </c>
      <c r="L166" s="5">
        <v>0</v>
      </c>
      <c r="M166" s="5">
        <v>0</v>
      </c>
      <c r="N166" s="4">
        <f t="shared" si="2"/>
        <v>0</v>
      </c>
    </row>
    <row r="167" spans="1:14">
      <c r="A167" s="6" t="s">
        <v>776</v>
      </c>
      <c r="B167" s="6" t="s">
        <v>129</v>
      </c>
      <c r="C167" s="6" t="s">
        <v>130</v>
      </c>
      <c r="D167" s="6" t="s">
        <v>240</v>
      </c>
      <c r="E167" s="6" t="s">
        <v>335</v>
      </c>
      <c r="F167" s="6" t="s">
        <v>777</v>
      </c>
      <c r="G167" s="6" t="s">
        <v>773</v>
      </c>
      <c r="H167" t="s">
        <v>90</v>
      </c>
      <c r="I167" t="s">
        <v>392</v>
      </c>
      <c r="J167" t="s">
        <v>392</v>
      </c>
      <c r="K167" s="5">
        <v>0</v>
      </c>
      <c r="L167" s="5">
        <v>0</v>
      </c>
      <c r="M167" s="5">
        <v>0</v>
      </c>
      <c r="N167" s="4">
        <f t="shared" si="2"/>
        <v>0</v>
      </c>
    </row>
    <row r="168" spans="1:14">
      <c r="A168" s="6" t="s">
        <v>778</v>
      </c>
      <c r="B168" s="6" t="s">
        <v>129</v>
      </c>
      <c r="C168" s="6" t="s">
        <v>130</v>
      </c>
      <c r="D168" s="6" t="s">
        <v>337</v>
      </c>
      <c r="E168" s="6" t="s">
        <v>338</v>
      </c>
      <c r="F168" s="6" t="s">
        <v>779</v>
      </c>
      <c r="G168" s="6" t="s">
        <v>780</v>
      </c>
      <c r="H168" t="s">
        <v>90</v>
      </c>
      <c r="I168" t="s">
        <v>392</v>
      </c>
      <c r="J168" t="s">
        <v>392</v>
      </c>
      <c r="K168" s="5">
        <v>0</v>
      </c>
      <c r="L168" s="5">
        <v>0</v>
      </c>
      <c r="M168" s="5">
        <v>0</v>
      </c>
      <c r="N168" s="4">
        <f t="shared" si="2"/>
        <v>0</v>
      </c>
    </row>
    <row r="169" spans="1:14">
      <c r="A169" s="6" t="s">
        <v>781</v>
      </c>
      <c r="B169" s="6" t="s">
        <v>129</v>
      </c>
      <c r="C169" s="6" t="s">
        <v>130</v>
      </c>
      <c r="D169" s="6" t="s">
        <v>337</v>
      </c>
      <c r="E169" s="6" t="s">
        <v>338</v>
      </c>
      <c r="F169" s="6" t="s">
        <v>782</v>
      </c>
      <c r="G169" s="6" t="s">
        <v>780</v>
      </c>
      <c r="H169" t="s">
        <v>90</v>
      </c>
      <c r="I169" t="s">
        <v>392</v>
      </c>
      <c r="J169" t="s">
        <v>392</v>
      </c>
      <c r="K169" s="5">
        <v>0</v>
      </c>
      <c r="L169" s="5">
        <v>0</v>
      </c>
      <c r="M169" s="5">
        <v>0</v>
      </c>
      <c r="N169" s="4">
        <f t="shared" si="2"/>
        <v>0</v>
      </c>
    </row>
    <row r="170" spans="1:14">
      <c r="A170" s="6" t="s">
        <v>783</v>
      </c>
      <c r="B170" s="6" t="s">
        <v>129</v>
      </c>
      <c r="C170" s="6" t="s">
        <v>130</v>
      </c>
      <c r="D170" s="6" t="s">
        <v>340</v>
      </c>
      <c r="E170" s="6" t="s">
        <v>341</v>
      </c>
      <c r="F170" s="6" t="s">
        <v>784</v>
      </c>
      <c r="G170" s="6" t="s">
        <v>785</v>
      </c>
      <c r="H170" t="s">
        <v>90</v>
      </c>
      <c r="I170" t="s">
        <v>392</v>
      </c>
      <c r="J170" t="s">
        <v>392</v>
      </c>
      <c r="K170" s="5">
        <v>0</v>
      </c>
      <c r="L170" s="5">
        <v>0</v>
      </c>
      <c r="M170" s="5">
        <v>0</v>
      </c>
      <c r="N170" s="4">
        <f t="shared" si="2"/>
        <v>0</v>
      </c>
    </row>
    <row r="171" spans="1:14">
      <c r="A171" s="6" t="s">
        <v>786</v>
      </c>
      <c r="B171" s="6" t="s">
        <v>129</v>
      </c>
      <c r="C171" s="6" t="s">
        <v>130</v>
      </c>
      <c r="D171" s="6" t="s">
        <v>340</v>
      </c>
      <c r="E171" s="6" t="s">
        <v>341</v>
      </c>
      <c r="F171" s="6" t="s">
        <v>787</v>
      </c>
      <c r="G171" s="6" t="s">
        <v>785</v>
      </c>
      <c r="H171" t="s">
        <v>90</v>
      </c>
      <c r="I171" t="s">
        <v>392</v>
      </c>
      <c r="J171" t="s">
        <v>392</v>
      </c>
      <c r="K171" s="5">
        <v>0</v>
      </c>
      <c r="L171" s="5">
        <v>0</v>
      </c>
      <c r="M171" s="5">
        <v>0</v>
      </c>
      <c r="N171" s="4">
        <f t="shared" si="2"/>
        <v>0</v>
      </c>
    </row>
    <row r="172" spans="1:14">
      <c r="A172" s="6" t="s">
        <v>788</v>
      </c>
      <c r="B172" s="6" t="s">
        <v>132</v>
      </c>
      <c r="C172" s="6" t="s">
        <v>133</v>
      </c>
      <c r="D172" s="6" t="s">
        <v>343</v>
      </c>
      <c r="E172" s="6" t="s">
        <v>344</v>
      </c>
      <c r="F172" s="6" t="s">
        <v>789</v>
      </c>
      <c r="G172" s="6" t="s">
        <v>790</v>
      </c>
      <c r="H172" t="s">
        <v>90</v>
      </c>
      <c r="I172" t="s">
        <v>392</v>
      </c>
      <c r="J172" t="s">
        <v>392</v>
      </c>
      <c r="K172" s="5">
        <v>0</v>
      </c>
      <c r="L172" s="5">
        <v>0</v>
      </c>
      <c r="M172" s="5">
        <v>0</v>
      </c>
      <c r="N172" s="4">
        <f t="shared" si="2"/>
        <v>0</v>
      </c>
    </row>
    <row r="173" spans="1:14">
      <c r="A173" s="6" t="s">
        <v>791</v>
      </c>
      <c r="B173" s="6" t="s">
        <v>132</v>
      </c>
      <c r="C173" s="6" t="s">
        <v>133</v>
      </c>
      <c r="D173" s="6" t="s">
        <v>343</v>
      </c>
      <c r="E173" s="6" t="s">
        <v>344</v>
      </c>
      <c r="F173" s="6" t="s">
        <v>792</v>
      </c>
      <c r="G173" s="6" t="s">
        <v>790</v>
      </c>
      <c r="H173" t="s">
        <v>90</v>
      </c>
      <c r="I173" t="s">
        <v>392</v>
      </c>
      <c r="J173" t="s">
        <v>392</v>
      </c>
      <c r="K173" s="5">
        <v>0</v>
      </c>
      <c r="L173" s="5">
        <v>0</v>
      </c>
      <c r="M173" s="5">
        <v>0</v>
      </c>
      <c r="N173" s="4">
        <f t="shared" si="2"/>
        <v>0</v>
      </c>
    </row>
    <row r="174" spans="1:14">
      <c r="A174" s="6" t="s">
        <v>793</v>
      </c>
      <c r="B174" s="6" t="s">
        <v>132</v>
      </c>
      <c r="C174" s="6" t="s">
        <v>133</v>
      </c>
      <c r="D174" s="6" t="s">
        <v>343</v>
      </c>
      <c r="E174" s="6" t="s">
        <v>344</v>
      </c>
      <c r="F174" s="6" t="s">
        <v>794</v>
      </c>
      <c r="G174" s="6" t="s">
        <v>790</v>
      </c>
      <c r="H174" t="s">
        <v>90</v>
      </c>
      <c r="I174" t="s">
        <v>392</v>
      </c>
      <c r="J174" t="s">
        <v>392</v>
      </c>
      <c r="K174" s="5">
        <v>0</v>
      </c>
      <c r="L174" s="5">
        <v>0</v>
      </c>
      <c r="M174" s="5">
        <v>0</v>
      </c>
      <c r="N174" s="4">
        <f t="shared" si="2"/>
        <v>0</v>
      </c>
    </row>
    <row r="175" spans="1:14">
      <c r="A175" s="6" t="s">
        <v>795</v>
      </c>
      <c r="B175" s="6" t="s">
        <v>132</v>
      </c>
      <c r="C175" s="6" t="s">
        <v>133</v>
      </c>
      <c r="D175" s="6" t="s">
        <v>343</v>
      </c>
      <c r="E175" s="6" t="s">
        <v>344</v>
      </c>
      <c r="F175" s="6" t="s">
        <v>796</v>
      </c>
      <c r="G175" s="6" t="s">
        <v>790</v>
      </c>
      <c r="H175" t="s">
        <v>90</v>
      </c>
      <c r="I175" t="s">
        <v>392</v>
      </c>
      <c r="J175" t="s">
        <v>392</v>
      </c>
      <c r="K175" s="5">
        <v>0</v>
      </c>
      <c r="L175" s="5">
        <v>0</v>
      </c>
      <c r="M175" s="5">
        <v>0</v>
      </c>
      <c r="N175" s="4">
        <f t="shared" si="2"/>
        <v>0</v>
      </c>
    </row>
    <row r="176" spans="1:14">
      <c r="A176" s="6" t="s">
        <v>797</v>
      </c>
      <c r="B176" s="6" t="s">
        <v>132</v>
      </c>
      <c r="C176" s="6" t="s">
        <v>133</v>
      </c>
      <c r="D176" s="6" t="s">
        <v>346</v>
      </c>
      <c r="E176" s="6" t="s">
        <v>347</v>
      </c>
      <c r="F176" s="6" t="s">
        <v>798</v>
      </c>
      <c r="G176" s="6" t="s">
        <v>799</v>
      </c>
      <c r="H176" t="s">
        <v>90</v>
      </c>
      <c r="I176" t="s">
        <v>392</v>
      </c>
      <c r="J176" t="s">
        <v>392</v>
      </c>
      <c r="K176" s="5">
        <v>0</v>
      </c>
      <c r="L176" s="5">
        <v>0</v>
      </c>
      <c r="M176" s="5">
        <v>0</v>
      </c>
      <c r="N176" s="4">
        <f t="shared" si="2"/>
        <v>0</v>
      </c>
    </row>
    <row r="177" spans="1:14">
      <c r="A177" s="6" t="s">
        <v>800</v>
      </c>
      <c r="B177" s="6" t="s">
        <v>132</v>
      </c>
      <c r="C177" s="6" t="s">
        <v>133</v>
      </c>
      <c r="D177" s="6" t="s">
        <v>346</v>
      </c>
      <c r="E177" s="6" t="s">
        <v>347</v>
      </c>
      <c r="F177" s="6" t="s">
        <v>801</v>
      </c>
      <c r="G177" s="6" t="s">
        <v>799</v>
      </c>
      <c r="H177" t="s">
        <v>90</v>
      </c>
      <c r="I177" t="s">
        <v>392</v>
      </c>
      <c r="J177" t="s">
        <v>392</v>
      </c>
      <c r="K177" s="5">
        <v>0</v>
      </c>
      <c r="L177" s="5">
        <v>0</v>
      </c>
      <c r="M177" s="5">
        <v>0</v>
      </c>
      <c r="N177" s="4">
        <f t="shared" si="2"/>
        <v>0</v>
      </c>
    </row>
    <row r="178" spans="1:14">
      <c r="A178" s="6" t="s">
        <v>802</v>
      </c>
      <c r="B178" s="6" t="s">
        <v>132</v>
      </c>
      <c r="C178" s="6" t="s">
        <v>133</v>
      </c>
      <c r="D178" s="6" t="s">
        <v>346</v>
      </c>
      <c r="E178" s="6" t="s">
        <v>347</v>
      </c>
      <c r="F178" s="6" t="s">
        <v>803</v>
      </c>
      <c r="G178" s="6" t="s">
        <v>799</v>
      </c>
      <c r="H178" t="s">
        <v>90</v>
      </c>
      <c r="I178" t="s">
        <v>392</v>
      </c>
      <c r="J178" t="s">
        <v>392</v>
      </c>
      <c r="K178" s="5">
        <v>0</v>
      </c>
      <c r="L178" s="5">
        <v>0</v>
      </c>
      <c r="M178" s="5">
        <v>0</v>
      </c>
      <c r="N178" s="4">
        <f t="shared" si="2"/>
        <v>0</v>
      </c>
    </row>
    <row r="179" spans="1:14">
      <c r="A179" s="6" t="s">
        <v>804</v>
      </c>
      <c r="B179" s="6" t="s">
        <v>132</v>
      </c>
      <c r="C179" s="6" t="s">
        <v>133</v>
      </c>
      <c r="D179" s="6" t="s">
        <v>346</v>
      </c>
      <c r="E179" s="6" t="s">
        <v>347</v>
      </c>
      <c r="F179" s="6" t="s">
        <v>805</v>
      </c>
      <c r="G179" s="6" t="s">
        <v>799</v>
      </c>
      <c r="H179" t="s">
        <v>90</v>
      </c>
      <c r="I179" t="s">
        <v>392</v>
      </c>
      <c r="J179" t="s">
        <v>392</v>
      </c>
      <c r="K179" s="5">
        <v>0</v>
      </c>
      <c r="L179" s="5">
        <v>0</v>
      </c>
      <c r="M179" s="5">
        <v>0</v>
      </c>
      <c r="N179" s="4">
        <f t="shared" si="2"/>
        <v>0</v>
      </c>
    </row>
    <row r="180" spans="1:14">
      <c r="A180" s="6" t="s">
        <v>806</v>
      </c>
      <c r="B180" s="6" t="s">
        <v>132</v>
      </c>
      <c r="C180" s="6" t="s">
        <v>133</v>
      </c>
      <c r="D180" s="6" t="s">
        <v>349</v>
      </c>
      <c r="E180" s="6" t="s">
        <v>350</v>
      </c>
      <c r="F180" s="6" t="s">
        <v>807</v>
      </c>
      <c r="G180" s="6" t="s">
        <v>808</v>
      </c>
      <c r="H180" t="s">
        <v>90</v>
      </c>
      <c r="I180" t="s">
        <v>392</v>
      </c>
      <c r="J180" t="s">
        <v>392</v>
      </c>
      <c r="K180" s="5">
        <v>0</v>
      </c>
      <c r="L180" s="5">
        <v>0</v>
      </c>
      <c r="M180" s="5">
        <v>0</v>
      </c>
      <c r="N180" s="4">
        <f t="shared" si="2"/>
        <v>0</v>
      </c>
    </row>
    <row r="181" spans="1:14">
      <c r="A181" s="6" t="s">
        <v>809</v>
      </c>
      <c r="B181" s="6" t="s">
        <v>132</v>
      </c>
      <c r="C181" s="6" t="s">
        <v>133</v>
      </c>
      <c r="D181" s="6" t="s">
        <v>349</v>
      </c>
      <c r="E181" s="6" t="s">
        <v>350</v>
      </c>
      <c r="F181" s="6" t="s">
        <v>810</v>
      </c>
      <c r="G181" s="6" t="s">
        <v>808</v>
      </c>
      <c r="H181" t="s">
        <v>90</v>
      </c>
      <c r="I181" t="s">
        <v>392</v>
      </c>
      <c r="J181" t="s">
        <v>392</v>
      </c>
      <c r="K181" s="5">
        <v>0</v>
      </c>
      <c r="L181" s="5">
        <v>0</v>
      </c>
      <c r="M181" s="5">
        <v>0</v>
      </c>
      <c r="N181" s="4">
        <f t="shared" si="2"/>
        <v>0</v>
      </c>
    </row>
    <row r="182" spans="1:14">
      <c r="A182" s="6" t="s">
        <v>811</v>
      </c>
      <c r="B182" s="6" t="s">
        <v>132</v>
      </c>
      <c r="C182" s="6" t="s">
        <v>133</v>
      </c>
      <c r="D182" s="6" t="s">
        <v>352</v>
      </c>
      <c r="E182" s="6" t="s">
        <v>353</v>
      </c>
      <c r="F182" s="6" t="s">
        <v>812</v>
      </c>
      <c r="G182" s="6" t="s">
        <v>813</v>
      </c>
      <c r="H182" t="s">
        <v>90</v>
      </c>
      <c r="I182" t="s">
        <v>392</v>
      </c>
      <c r="J182" t="s">
        <v>392</v>
      </c>
      <c r="K182" s="5">
        <v>0</v>
      </c>
      <c r="L182" s="5">
        <v>0</v>
      </c>
      <c r="M182" s="5">
        <v>0</v>
      </c>
      <c r="N182" s="4">
        <f t="shared" si="2"/>
        <v>0</v>
      </c>
    </row>
    <row r="183" spans="1:14">
      <c r="A183" s="6" t="s">
        <v>814</v>
      </c>
      <c r="B183" s="6" t="s">
        <v>132</v>
      </c>
      <c r="C183" s="6" t="s">
        <v>133</v>
      </c>
      <c r="D183" s="6" t="s">
        <v>352</v>
      </c>
      <c r="E183" s="6" t="s">
        <v>353</v>
      </c>
      <c r="F183" s="6" t="s">
        <v>815</v>
      </c>
      <c r="G183" s="6" t="s">
        <v>813</v>
      </c>
      <c r="H183" t="s">
        <v>90</v>
      </c>
      <c r="I183" t="s">
        <v>392</v>
      </c>
      <c r="J183" t="s">
        <v>392</v>
      </c>
      <c r="K183" s="5">
        <v>0</v>
      </c>
      <c r="L183" s="5">
        <v>0</v>
      </c>
      <c r="M183" s="5">
        <v>0</v>
      </c>
      <c r="N183" s="4">
        <f t="shared" si="2"/>
        <v>0</v>
      </c>
    </row>
    <row r="184" spans="1:14">
      <c r="A184" s="6" t="s">
        <v>816</v>
      </c>
      <c r="B184" s="6" t="s">
        <v>69</v>
      </c>
      <c r="C184" s="6" t="s">
        <v>94</v>
      </c>
      <c r="D184" s="6" t="s">
        <v>355</v>
      </c>
      <c r="E184" s="6" t="s">
        <v>356</v>
      </c>
      <c r="F184" s="6" t="s">
        <v>817</v>
      </c>
      <c r="G184" s="6" t="s">
        <v>818</v>
      </c>
      <c r="H184" t="s">
        <v>90</v>
      </c>
      <c r="I184" t="s">
        <v>392</v>
      </c>
      <c r="J184" t="s">
        <v>392</v>
      </c>
      <c r="K184" s="5">
        <v>0</v>
      </c>
      <c r="L184" s="5">
        <v>0</v>
      </c>
      <c r="M184" s="5">
        <v>0</v>
      </c>
      <c r="N184" s="4">
        <f t="shared" si="2"/>
        <v>0</v>
      </c>
    </row>
    <row r="185" spans="1:14">
      <c r="A185" s="6" t="s">
        <v>819</v>
      </c>
      <c r="B185" s="6" t="s">
        <v>69</v>
      </c>
      <c r="C185" s="6" t="s">
        <v>94</v>
      </c>
      <c r="D185" s="6" t="s">
        <v>355</v>
      </c>
      <c r="E185" s="6" t="s">
        <v>356</v>
      </c>
      <c r="F185" s="6" t="s">
        <v>820</v>
      </c>
      <c r="G185" s="6" t="s">
        <v>821</v>
      </c>
      <c r="H185" t="s">
        <v>90</v>
      </c>
      <c r="I185" t="s">
        <v>392</v>
      </c>
      <c r="J185" t="s">
        <v>392</v>
      </c>
      <c r="K185" s="5">
        <v>0</v>
      </c>
      <c r="L185" s="5">
        <v>0</v>
      </c>
      <c r="M185" s="5">
        <v>0</v>
      </c>
      <c r="N185" s="4">
        <f t="shared" si="2"/>
        <v>0</v>
      </c>
    </row>
    <row r="186" spans="1:14">
      <c r="A186" s="6" t="s">
        <v>822</v>
      </c>
      <c r="B186" s="6" t="s">
        <v>69</v>
      </c>
      <c r="C186" s="6" t="s">
        <v>94</v>
      </c>
      <c r="D186" s="6" t="s">
        <v>355</v>
      </c>
      <c r="E186" s="6" t="s">
        <v>356</v>
      </c>
      <c r="F186" s="6" t="s">
        <v>823</v>
      </c>
      <c r="G186" s="6" t="s">
        <v>824</v>
      </c>
      <c r="H186" t="s">
        <v>90</v>
      </c>
      <c r="I186" t="s">
        <v>392</v>
      </c>
      <c r="J186" t="s">
        <v>392</v>
      </c>
      <c r="K186" s="5">
        <v>0</v>
      </c>
      <c r="L186" s="5">
        <v>0</v>
      </c>
      <c r="M186" s="5">
        <v>0</v>
      </c>
      <c r="N186" s="4">
        <f t="shared" si="2"/>
        <v>0</v>
      </c>
    </row>
    <row r="187" spans="1:14">
      <c r="A187" s="6" t="s">
        <v>825</v>
      </c>
      <c r="B187" s="6" t="s">
        <v>69</v>
      </c>
      <c r="C187" s="6" t="s">
        <v>94</v>
      </c>
      <c r="D187" s="6" t="s">
        <v>355</v>
      </c>
      <c r="E187" s="6" t="s">
        <v>356</v>
      </c>
      <c r="F187" s="6" t="s">
        <v>826</v>
      </c>
      <c r="G187" s="6" t="s">
        <v>827</v>
      </c>
      <c r="H187" t="s">
        <v>90</v>
      </c>
      <c r="I187" t="s">
        <v>392</v>
      </c>
      <c r="J187" t="s">
        <v>392</v>
      </c>
      <c r="K187" s="5">
        <v>0</v>
      </c>
      <c r="L187" s="5">
        <v>0</v>
      </c>
      <c r="M187" s="5">
        <v>0</v>
      </c>
      <c r="N187" s="4">
        <f t="shared" si="2"/>
        <v>0</v>
      </c>
    </row>
    <row r="188" spans="1:14">
      <c r="A188" s="6" t="s">
        <v>828</v>
      </c>
      <c r="B188" s="6" t="s">
        <v>69</v>
      </c>
      <c r="C188" s="6" t="s">
        <v>94</v>
      </c>
      <c r="D188" s="6" t="s">
        <v>355</v>
      </c>
      <c r="E188" s="6" t="s">
        <v>356</v>
      </c>
      <c r="F188" s="6" t="s">
        <v>829</v>
      </c>
      <c r="G188" s="6" t="s">
        <v>830</v>
      </c>
      <c r="H188" t="s">
        <v>90</v>
      </c>
      <c r="I188" t="s">
        <v>392</v>
      </c>
      <c r="J188" t="s">
        <v>392</v>
      </c>
      <c r="K188" s="5">
        <v>0</v>
      </c>
      <c r="L188" s="5">
        <v>0</v>
      </c>
      <c r="M188" s="5">
        <v>0</v>
      </c>
      <c r="N188" s="4">
        <f t="shared" si="2"/>
        <v>0</v>
      </c>
    </row>
    <row r="189" spans="1:14">
      <c r="A189" s="6" t="s">
        <v>831</v>
      </c>
      <c r="B189" s="6" t="s">
        <v>69</v>
      </c>
      <c r="C189" s="6" t="s">
        <v>94</v>
      </c>
      <c r="D189" s="6" t="s">
        <v>355</v>
      </c>
      <c r="E189" s="6" t="s">
        <v>356</v>
      </c>
      <c r="F189" s="6" t="s">
        <v>832</v>
      </c>
      <c r="G189" s="6" t="s">
        <v>833</v>
      </c>
      <c r="H189" t="s">
        <v>90</v>
      </c>
      <c r="I189" t="s">
        <v>392</v>
      </c>
      <c r="J189" t="s">
        <v>392</v>
      </c>
      <c r="K189" s="5">
        <v>0</v>
      </c>
      <c r="L189" s="5">
        <v>0</v>
      </c>
      <c r="M189" s="5">
        <v>0</v>
      </c>
      <c r="N189" s="4">
        <f t="shared" si="2"/>
        <v>0</v>
      </c>
    </row>
    <row r="190" spans="1:14">
      <c r="A190" s="6" t="s">
        <v>834</v>
      </c>
      <c r="B190" s="6" t="s">
        <v>69</v>
      </c>
      <c r="C190" s="6" t="s">
        <v>94</v>
      </c>
      <c r="D190" s="6" t="s">
        <v>358</v>
      </c>
      <c r="E190" s="6" t="s">
        <v>359</v>
      </c>
      <c r="F190" s="6" t="s">
        <v>835</v>
      </c>
      <c r="G190" s="6" t="s">
        <v>836</v>
      </c>
      <c r="H190" t="s">
        <v>90</v>
      </c>
      <c r="I190" t="s">
        <v>392</v>
      </c>
      <c r="J190" t="s">
        <v>392</v>
      </c>
      <c r="K190" s="5">
        <v>0</v>
      </c>
      <c r="L190" s="5">
        <v>0</v>
      </c>
      <c r="M190" s="5">
        <v>0</v>
      </c>
      <c r="N190" s="4">
        <f t="shared" si="2"/>
        <v>0</v>
      </c>
    </row>
    <row r="191" spans="1:14">
      <c r="A191" s="6" t="s">
        <v>837</v>
      </c>
      <c r="B191" s="6" t="s">
        <v>69</v>
      </c>
      <c r="C191" s="6" t="s">
        <v>94</v>
      </c>
      <c r="D191" s="6" t="s">
        <v>358</v>
      </c>
      <c r="E191" s="6" t="s">
        <v>359</v>
      </c>
      <c r="F191" s="6" t="s">
        <v>838</v>
      </c>
      <c r="G191" s="6" t="s">
        <v>839</v>
      </c>
      <c r="H191" t="s">
        <v>90</v>
      </c>
      <c r="I191" t="s">
        <v>392</v>
      </c>
      <c r="J191" t="s">
        <v>392</v>
      </c>
      <c r="K191" s="5">
        <v>0</v>
      </c>
      <c r="L191" s="5">
        <v>0</v>
      </c>
      <c r="M191" s="5">
        <v>0</v>
      </c>
      <c r="N191" s="4">
        <f t="shared" si="2"/>
        <v>0</v>
      </c>
    </row>
    <row r="192" spans="1:14">
      <c r="A192" s="6" t="s">
        <v>840</v>
      </c>
      <c r="B192" s="6" t="s">
        <v>69</v>
      </c>
      <c r="C192" s="6" t="s">
        <v>94</v>
      </c>
      <c r="D192" s="6" t="s">
        <v>358</v>
      </c>
      <c r="E192" s="6" t="s">
        <v>359</v>
      </c>
      <c r="F192" s="6" t="s">
        <v>841</v>
      </c>
      <c r="G192" s="6" t="s">
        <v>842</v>
      </c>
      <c r="H192" t="s">
        <v>90</v>
      </c>
      <c r="I192" t="s">
        <v>392</v>
      </c>
      <c r="J192" t="s">
        <v>392</v>
      </c>
      <c r="K192" s="5">
        <v>0</v>
      </c>
      <c r="L192" s="5">
        <v>0</v>
      </c>
      <c r="M192" s="5">
        <v>0</v>
      </c>
      <c r="N192" s="4">
        <f t="shared" si="2"/>
        <v>0</v>
      </c>
    </row>
    <row r="193" spans="1:14">
      <c r="A193" s="6" t="s">
        <v>843</v>
      </c>
      <c r="B193" s="6" t="s">
        <v>69</v>
      </c>
      <c r="C193" s="6" t="s">
        <v>94</v>
      </c>
      <c r="D193" s="6" t="s">
        <v>358</v>
      </c>
      <c r="E193" s="6" t="s">
        <v>359</v>
      </c>
      <c r="F193" s="6" t="s">
        <v>844</v>
      </c>
      <c r="G193" s="6" t="s">
        <v>845</v>
      </c>
      <c r="H193" t="s">
        <v>90</v>
      </c>
      <c r="I193" t="s">
        <v>392</v>
      </c>
      <c r="J193" t="s">
        <v>392</v>
      </c>
      <c r="K193" s="5">
        <v>0</v>
      </c>
      <c r="L193" s="5">
        <v>0</v>
      </c>
      <c r="M193" s="5">
        <v>0</v>
      </c>
      <c r="N193" s="4">
        <f t="shared" si="2"/>
        <v>0</v>
      </c>
    </row>
    <row r="194" spans="1:14">
      <c r="A194" s="6" t="s">
        <v>846</v>
      </c>
      <c r="B194" s="6" t="s">
        <v>69</v>
      </c>
      <c r="C194" s="6" t="s">
        <v>94</v>
      </c>
      <c r="D194" s="6" t="s">
        <v>361</v>
      </c>
      <c r="E194" s="6" t="s">
        <v>362</v>
      </c>
      <c r="F194" s="6" t="s">
        <v>847</v>
      </c>
      <c r="G194" s="6" t="s">
        <v>848</v>
      </c>
      <c r="H194" t="s">
        <v>90</v>
      </c>
      <c r="I194" t="s">
        <v>392</v>
      </c>
      <c r="J194" t="s">
        <v>392</v>
      </c>
      <c r="K194" s="5">
        <v>0</v>
      </c>
      <c r="L194" s="5">
        <v>0</v>
      </c>
      <c r="M194" s="5">
        <v>0</v>
      </c>
      <c r="N194" s="4">
        <f t="shared" si="2"/>
        <v>0</v>
      </c>
    </row>
    <row r="195" spans="1:14">
      <c r="A195" s="6" t="s">
        <v>849</v>
      </c>
      <c r="B195" s="6" t="s">
        <v>69</v>
      </c>
      <c r="C195" s="6" t="s">
        <v>94</v>
      </c>
      <c r="D195" s="6" t="s">
        <v>361</v>
      </c>
      <c r="E195" s="6" t="s">
        <v>362</v>
      </c>
      <c r="F195" s="6" t="s">
        <v>850</v>
      </c>
      <c r="G195" s="6" t="s">
        <v>851</v>
      </c>
      <c r="H195" t="s">
        <v>90</v>
      </c>
      <c r="I195" t="s">
        <v>392</v>
      </c>
      <c r="J195" t="s">
        <v>392</v>
      </c>
      <c r="K195" s="5">
        <v>0</v>
      </c>
      <c r="L195" s="5">
        <v>0</v>
      </c>
      <c r="M195" s="5">
        <v>0</v>
      </c>
      <c r="N195" s="4">
        <f t="shared" si="2"/>
        <v>0</v>
      </c>
    </row>
    <row r="196" spans="1:14">
      <c r="A196" s="6" t="s">
        <v>852</v>
      </c>
      <c r="B196" s="6" t="s">
        <v>69</v>
      </c>
      <c r="C196" s="6" t="s">
        <v>94</v>
      </c>
      <c r="D196" s="6" t="s">
        <v>361</v>
      </c>
      <c r="E196" s="6" t="s">
        <v>362</v>
      </c>
      <c r="F196" s="6" t="s">
        <v>853</v>
      </c>
      <c r="G196" s="6" t="s">
        <v>854</v>
      </c>
      <c r="H196" t="s">
        <v>90</v>
      </c>
      <c r="I196" t="s">
        <v>392</v>
      </c>
      <c r="J196" t="s">
        <v>392</v>
      </c>
      <c r="K196" s="5">
        <v>0</v>
      </c>
      <c r="L196" s="5">
        <v>0</v>
      </c>
      <c r="M196" s="5">
        <v>0</v>
      </c>
      <c r="N196" s="4">
        <f t="shared" si="2"/>
        <v>0</v>
      </c>
    </row>
    <row r="197" spans="1:14">
      <c r="A197" s="6" t="s">
        <v>855</v>
      </c>
      <c r="B197" s="6" t="s">
        <v>69</v>
      </c>
      <c r="C197" s="6" t="s">
        <v>94</v>
      </c>
      <c r="D197" s="6" t="s">
        <v>361</v>
      </c>
      <c r="E197" s="6" t="s">
        <v>362</v>
      </c>
      <c r="F197" s="6" t="s">
        <v>856</v>
      </c>
      <c r="G197" s="6" t="s">
        <v>857</v>
      </c>
      <c r="H197" t="s">
        <v>90</v>
      </c>
      <c r="I197" t="s">
        <v>392</v>
      </c>
      <c r="J197" t="s">
        <v>392</v>
      </c>
      <c r="K197" s="5">
        <v>0</v>
      </c>
      <c r="L197" s="5">
        <v>0</v>
      </c>
      <c r="M197" s="5">
        <v>0</v>
      </c>
      <c r="N197" s="4">
        <f t="shared" ref="N197:N209" si="3">K197-L197</f>
        <v>0</v>
      </c>
    </row>
    <row r="198" spans="1:14">
      <c r="A198" s="6" t="s">
        <v>858</v>
      </c>
      <c r="B198" s="6" t="s">
        <v>69</v>
      </c>
      <c r="C198" s="6" t="s">
        <v>94</v>
      </c>
      <c r="D198" s="6" t="s">
        <v>364</v>
      </c>
      <c r="E198" s="6" t="s">
        <v>365</v>
      </c>
      <c r="F198" s="6" t="s">
        <v>859</v>
      </c>
      <c r="G198" s="6" t="s">
        <v>860</v>
      </c>
      <c r="H198" t="s">
        <v>90</v>
      </c>
      <c r="I198" t="s">
        <v>392</v>
      </c>
      <c r="J198" t="s">
        <v>392</v>
      </c>
      <c r="K198" s="5">
        <v>0</v>
      </c>
      <c r="L198" s="5">
        <v>0</v>
      </c>
      <c r="M198" s="5">
        <v>0</v>
      </c>
      <c r="N198" s="4">
        <f t="shared" si="3"/>
        <v>0</v>
      </c>
    </row>
    <row r="199" spans="1:14">
      <c r="A199" s="6" t="s">
        <v>861</v>
      </c>
      <c r="B199" s="6" t="s">
        <v>69</v>
      </c>
      <c r="C199" s="6" t="s">
        <v>94</v>
      </c>
      <c r="D199" s="6" t="s">
        <v>364</v>
      </c>
      <c r="E199" s="6" t="s">
        <v>365</v>
      </c>
      <c r="F199" s="6" t="s">
        <v>862</v>
      </c>
      <c r="G199" s="6" t="s">
        <v>863</v>
      </c>
      <c r="H199" t="s">
        <v>90</v>
      </c>
      <c r="I199" t="s">
        <v>392</v>
      </c>
      <c r="J199" t="s">
        <v>392</v>
      </c>
      <c r="K199" s="5">
        <v>0</v>
      </c>
      <c r="L199" s="5">
        <v>0</v>
      </c>
      <c r="M199" s="5">
        <v>0</v>
      </c>
      <c r="N199" s="4">
        <f t="shared" si="3"/>
        <v>0</v>
      </c>
    </row>
    <row r="200" spans="1:14">
      <c r="A200" s="6" t="s">
        <v>864</v>
      </c>
      <c r="B200" s="6" t="s">
        <v>69</v>
      </c>
      <c r="C200" s="6" t="s">
        <v>94</v>
      </c>
      <c r="D200" s="6" t="s">
        <v>364</v>
      </c>
      <c r="E200" s="6" t="s">
        <v>365</v>
      </c>
      <c r="F200" s="6" t="s">
        <v>865</v>
      </c>
      <c r="G200" s="6" t="s">
        <v>866</v>
      </c>
      <c r="H200" t="s">
        <v>90</v>
      </c>
      <c r="I200" t="s">
        <v>392</v>
      </c>
      <c r="J200" t="s">
        <v>392</v>
      </c>
      <c r="K200" s="5">
        <v>0</v>
      </c>
      <c r="L200" s="5">
        <v>0</v>
      </c>
      <c r="M200" s="5">
        <v>0</v>
      </c>
      <c r="N200" s="4">
        <f t="shared" si="3"/>
        <v>0</v>
      </c>
    </row>
    <row r="201" spans="1:14">
      <c r="A201" s="6" t="s">
        <v>867</v>
      </c>
      <c r="B201" s="6" t="s">
        <v>69</v>
      </c>
      <c r="C201" s="6" t="s">
        <v>94</v>
      </c>
      <c r="D201" s="6" t="s">
        <v>364</v>
      </c>
      <c r="E201" s="6" t="s">
        <v>365</v>
      </c>
      <c r="F201" s="6" t="s">
        <v>868</v>
      </c>
      <c r="G201" s="6" t="s">
        <v>869</v>
      </c>
      <c r="H201" t="s">
        <v>90</v>
      </c>
      <c r="I201" t="s">
        <v>392</v>
      </c>
      <c r="J201" t="s">
        <v>392</v>
      </c>
      <c r="K201" s="5">
        <v>0</v>
      </c>
      <c r="L201" s="5">
        <v>0</v>
      </c>
      <c r="M201" s="5">
        <v>0</v>
      </c>
      <c r="N201" s="4">
        <f t="shared" si="3"/>
        <v>0</v>
      </c>
    </row>
    <row r="202" spans="1:14">
      <c r="A202" s="6" t="s">
        <v>870</v>
      </c>
      <c r="B202" s="6" t="s">
        <v>69</v>
      </c>
      <c r="C202" s="6" t="s">
        <v>94</v>
      </c>
      <c r="D202" s="6" t="s">
        <v>367</v>
      </c>
      <c r="E202" s="6" t="s">
        <v>368</v>
      </c>
      <c r="F202" s="6" t="s">
        <v>871</v>
      </c>
      <c r="G202" s="6" t="s">
        <v>872</v>
      </c>
      <c r="H202" t="s">
        <v>90</v>
      </c>
      <c r="I202" t="s">
        <v>392</v>
      </c>
      <c r="J202" t="s">
        <v>392</v>
      </c>
      <c r="K202" s="5">
        <v>0</v>
      </c>
      <c r="L202" s="5">
        <v>0</v>
      </c>
      <c r="M202" s="5">
        <v>0</v>
      </c>
      <c r="N202" s="4">
        <f t="shared" si="3"/>
        <v>0</v>
      </c>
    </row>
    <row r="203" spans="1:14">
      <c r="A203" s="6" t="s">
        <v>873</v>
      </c>
      <c r="B203" s="6" t="s">
        <v>69</v>
      </c>
      <c r="C203" s="6" t="s">
        <v>94</v>
      </c>
      <c r="D203" s="6" t="s">
        <v>367</v>
      </c>
      <c r="E203" s="6" t="s">
        <v>368</v>
      </c>
      <c r="F203" s="6" t="s">
        <v>874</v>
      </c>
      <c r="G203" s="6" t="s">
        <v>875</v>
      </c>
      <c r="H203" t="s">
        <v>90</v>
      </c>
      <c r="I203" t="s">
        <v>392</v>
      </c>
      <c r="J203" t="s">
        <v>392</v>
      </c>
      <c r="K203" s="5">
        <v>0</v>
      </c>
      <c r="L203" s="5">
        <v>0</v>
      </c>
      <c r="M203" s="5">
        <v>0</v>
      </c>
      <c r="N203" s="4">
        <f t="shared" si="3"/>
        <v>0</v>
      </c>
    </row>
    <row r="204" spans="1:14">
      <c r="A204" s="6" t="s">
        <v>876</v>
      </c>
      <c r="B204" s="6" t="s">
        <v>69</v>
      </c>
      <c r="C204" s="6" t="s">
        <v>94</v>
      </c>
      <c r="D204" s="6" t="s">
        <v>367</v>
      </c>
      <c r="E204" s="6" t="s">
        <v>368</v>
      </c>
      <c r="F204" s="6" t="s">
        <v>877</v>
      </c>
      <c r="G204" s="6" t="s">
        <v>878</v>
      </c>
      <c r="H204" t="s">
        <v>90</v>
      </c>
      <c r="I204" t="s">
        <v>392</v>
      </c>
      <c r="J204" t="s">
        <v>392</v>
      </c>
      <c r="K204" s="5">
        <v>0</v>
      </c>
      <c r="L204" s="5">
        <v>0</v>
      </c>
      <c r="M204" s="5">
        <v>0</v>
      </c>
      <c r="N204" s="4">
        <f t="shared" si="3"/>
        <v>0</v>
      </c>
    </row>
    <row r="205" spans="1:14">
      <c r="A205" s="6" t="s">
        <v>879</v>
      </c>
      <c r="B205" s="6" t="s">
        <v>69</v>
      </c>
      <c r="C205" s="6" t="s">
        <v>94</v>
      </c>
      <c r="D205" s="6" t="s">
        <v>370</v>
      </c>
      <c r="E205" s="6" t="s">
        <v>371</v>
      </c>
      <c r="F205" s="6" t="s">
        <v>880</v>
      </c>
      <c r="G205" s="6" t="s">
        <v>881</v>
      </c>
      <c r="H205" t="s">
        <v>90</v>
      </c>
      <c r="I205" t="s">
        <v>392</v>
      </c>
      <c r="J205" t="s">
        <v>392</v>
      </c>
      <c r="K205" s="5">
        <v>0</v>
      </c>
      <c r="L205" s="5">
        <v>0</v>
      </c>
      <c r="M205" s="5">
        <v>0</v>
      </c>
      <c r="N205" s="4">
        <f t="shared" si="3"/>
        <v>0</v>
      </c>
    </row>
    <row r="206" spans="1:14">
      <c r="A206" s="6" t="s">
        <v>882</v>
      </c>
      <c r="B206" s="6" t="s">
        <v>69</v>
      </c>
      <c r="C206" s="6" t="s">
        <v>94</v>
      </c>
      <c r="D206" s="6" t="s">
        <v>370</v>
      </c>
      <c r="E206" s="6" t="s">
        <v>371</v>
      </c>
      <c r="F206" s="6" t="s">
        <v>883</v>
      </c>
      <c r="G206" s="6" t="s">
        <v>884</v>
      </c>
      <c r="H206" t="s">
        <v>90</v>
      </c>
      <c r="I206" t="s">
        <v>392</v>
      </c>
      <c r="J206" t="s">
        <v>392</v>
      </c>
      <c r="K206" s="5">
        <v>0</v>
      </c>
      <c r="L206" s="5">
        <v>0</v>
      </c>
      <c r="M206" s="5">
        <v>0</v>
      </c>
      <c r="N206" s="4">
        <f t="shared" si="3"/>
        <v>0</v>
      </c>
    </row>
    <row r="207" spans="1:14">
      <c r="A207" s="6" t="s">
        <v>885</v>
      </c>
      <c r="B207" s="6" t="s">
        <v>69</v>
      </c>
      <c r="C207" s="6" t="s">
        <v>94</v>
      </c>
      <c r="D207" s="6" t="s">
        <v>370</v>
      </c>
      <c r="E207" s="6" t="s">
        <v>371</v>
      </c>
      <c r="F207" s="6" t="s">
        <v>886</v>
      </c>
      <c r="G207" s="6" t="s">
        <v>887</v>
      </c>
      <c r="H207" t="s">
        <v>90</v>
      </c>
      <c r="I207" t="s">
        <v>392</v>
      </c>
      <c r="J207" t="s">
        <v>392</v>
      </c>
      <c r="K207" s="5">
        <v>0</v>
      </c>
      <c r="L207" s="5">
        <v>0</v>
      </c>
      <c r="M207" s="5">
        <v>0</v>
      </c>
      <c r="N207" s="4">
        <f t="shared" si="3"/>
        <v>0</v>
      </c>
    </row>
    <row r="208" spans="1:14">
      <c r="A208" s="6" t="s">
        <v>888</v>
      </c>
      <c r="B208" s="6" t="s">
        <v>69</v>
      </c>
      <c r="C208" s="6" t="s">
        <v>94</v>
      </c>
      <c r="D208" s="6" t="s">
        <v>373</v>
      </c>
      <c r="E208" s="6" t="s">
        <v>374</v>
      </c>
      <c r="F208" s="6" t="s">
        <v>889</v>
      </c>
      <c r="G208" s="6" t="s">
        <v>890</v>
      </c>
      <c r="H208" t="s">
        <v>90</v>
      </c>
      <c r="I208" t="s">
        <v>392</v>
      </c>
      <c r="J208" t="s">
        <v>392</v>
      </c>
      <c r="K208" s="5">
        <v>0</v>
      </c>
      <c r="L208" s="5">
        <v>0</v>
      </c>
      <c r="M208" s="5">
        <v>0</v>
      </c>
      <c r="N208" s="4">
        <f t="shared" si="3"/>
        <v>0</v>
      </c>
    </row>
    <row r="209" spans="1:14">
      <c r="A209" s="6" t="s">
        <v>891</v>
      </c>
      <c r="B209" s="6" t="s">
        <v>69</v>
      </c>
      <c r="C209" s="6" t="s">
        <v>94</v>
      </c>
      <c r="D209" s="6" t="s">
        <v>373</v>
      </c>
      <c r="E209" s="6" t="s">
        <v>374</v>
      </c>
      <c r="F209" s="6" t="s">
        <v>892</v>
      </c>
      <c r="G209" s="6" t="s">
        <v>893</v>
      </c>
      <c r="H209" t="s">
        <v>90</v>
      </c>
      <c r="I209" t="s">
        <v>392</v>
      </c>
      <c r="J209" t="s">
        <v>392</v>
      </c>
      <c r="K209" s="5">
        <v>0</v>
      </c>
      <c r="L209" s="5">
        <v>0</v>
      </c>
      <c r="M209" s="5">
        <v>0</v>
      </c>
      <c r="N209" s="4">
        <f t="shared" si="3"/>
        <v>0</v>
      </c>
    </row>
  </sheetData>
  <mergeCells count="2">
    <mergeCell ref="A1:N1"/>
    <mergeCell ref="A2:N2"/>
  </mergeCells>
  <dataValidations count="2">
    <dataValidation type="list" sqref="H5:H186" xr:uid="{00000000-0002-0000-0300-000000000000}">
      <formula1>"Activo,Inactivo,En diseño"</formula1>
    </dataValidation>
    <dataValidation type="list" sqref="I5:I186" xr:uid="{00000000-0002-0000-0300-000001000000}">
      <formula1>"Precio fijo,Por hora,Por etapa,Mensual,Porcentaje,Por definir"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1"/>
  <sheetViews>
    <sheetView topLeftCell="A82" workbookViewId="0">
      <selection sqref="A1:J1"/>
    </sheetView>
  </sheetViews>
  <sheetFormatPr baseColWidth="10" defaultColWidth="8.6640625" defaultRowHeight="14"/>
  <cols>
    <col min="1" max="1" width="14" customWidth="1"/>
    <col min="2" max="2" width="12" customWidth="1"/>
    <col min="3" max="3" width="26" customWidth="1"/>
    <col min="4" max="4" width="48" customWidth="1"/>
    <col min="5" max="5" width="12" customWidth="1"/>
    <col min="6" max="6" width="15" customWidth="1"/>
    <col min="7" max="7" width="14" customWidth="1"/>
    <col min="8" max="8" width="22" customWidth="1"/>
    <col min="9" max="9" width="42" customWidth="1"/>
    <col min="10" max="10" width="40" customWidth="1"/>
  </cols>
  <sheetData>
    <row r="1" spans="1:10" ht="20" customHeight="1">
      <c r="A1" s="54" t="s">
        <v>894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0" customHeight="1">
      <c r="A2" s="55" t="s">
        <v>895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21.4" customHeight="1">
      <c r="A4" s="2" t="s">
        <v>896</v>
      </c>
      <c r="B4" s="2" t="s">
        <v>897</v>
      </c>
      <c r="C4" s="2" t="s">
        <v>898</v>
      </c>
      <c r="D4" s="2" t="s">
        <v>899</v>
      </c>
      <c r="E4" s="2" t="s">
        <v>900</v>
      </c>
      <c r="F4" s="2" t="s">
        <v>901</v>
      </c>
      <c r="G4" s="2" t="s">
        <v>86</v>
      </c>
      <c r="H4" s="2" t="s">
        <v>378</v>
      </c>
      <c r="I4" s="2" t="s">
        <v>902</v>
      </c>
      <c r="J4" s="2" t="s">
        <v>903</v>
      </c>
    </row>
    <row r="5" spans="1:10">
      <c r="A5" s="7">
        <v>46082</v>
      </c>
      <c r="B5" t="s">
        <v>904</v>
      </c>
      <c r="C5" t="s">
        <v>905</v>
      </c>
      <c r="D5" t="s">
        <v>906</v>
      </c>
      <c r="E5" t="s">
        <v>10</v>
      </c>
      <c r="F5" s="4">
        <v>250</v>
      </c>
      <c r="G5" t="s">
        <v>907</v>
      </c>
      <c r="H5" s="6" t="s">
        <v>908</v>
      </c>
      <c r="I5" s="6" t="s">
        <v>390</v>
      </c>
    </row>
    <row r="6" spans="1:10">
      <c r="A6" s="7">
        <v>46082</v>
      </c>
      <c r="B6" t="s">
        <v>904</v>
      </c>
      <c r="C6" t="s">
        <v>909</v>
      </c>
      <c r="D6" t="s">
        <v>444</v>
      </c>
      <c r="E6" t="s">
        <v>10</v>
      </c>
      <c r="F6" s="4">
        <v>96</v>
      </c>
      <c r="G6" t="s">
        <v>907</v>
      </c>
      <c r="H6" s="6" t="s">
        <v>910</v>
      </c>
      <c r="I6" s="6" t="s">
        <v>444</v>
      </c>
    </row>
    <row r="7" spans="1:10">
      <c r="A7" s="7">
        <v>46082</v>
      </c>
      <c r="B7" t="s">
        <v>904</v>
      </c>
      <c r="C7" t="s">
        <v>911</v>
      </c>
      <c r="D7" t="s">
        <v>912</v>
      </c>
      <c r="E7" t="s">
        <v>10</v>
      </c>
      <c r="F7" s="4">
        <v>50</v>
      </c>
      <c r="G7" t="s">
        <v>907</v>
      </c>
      <c r="H7" s="6" t="s">
        <v>913</v>
      </c>
      <c r="I7" s="6" t="s">
        <v>616</v>
      </c>
    </row>
    <row r="8" spans="1:10">
      <c r="A8" s="7">
        <v>46082</v>
      </c>
      <c r="B8" t="s">
        <v>904</v>
      </c>
      <c r="C8" t="s">
        <v>914</v>
      </c>
      <c r="D8" t="s">
        <v>915</v>
      </c>
      <c r="E8" t="s">
        <v>10</v>
      </c>
      <c r="F8" s="4">
        <v>50</v>
      </c>
      <c r="G8" t="s">
        <v>907</v>
      </c>
      <c r="H8" s="6" t="s">
        <v>913</v>
      </c>
      <c r="I8" s="6" t="s">
        <v>616</v>
      </c>
    </row>
    <row r="9" spans="1:10">
      <c r="A9" s="7">
        <v>46092</v>
      </c>
      <c r="B9" t="s">
        <v>904</v>
      </c>
      <c r="C9" t="s">
        <v>916</v>
      </c>
      <c r="D9" t="s">
        <v>619</v>
      </c>
      <c r="E9" t="s">
        <v>10</v>
      </c>
      <c r="F9" s="4">
        <v>50</v>
      </c>
      <c r="G9" t="s">
        <v>907</v>
      </c>
      <c r="H9" s="6" t="s">
        <v>917</v>
      </c>
      <c r="I9" s="6" t="s">
        <v>619</v>
      </c>
    </row>
    <row r="10" spans="1:10">
      <c r="A10" s="7">
        <v>46094</v>
      </c>
      <c r="B10" t="s">
        <v>904</v>
      </c>
      <c r="C10" t="s">
        <v>905</v>
      </c>
      <c r="D10" t="s">
        <v>918</v>
      </c>
      <c r="E10" t="s">
        <v>10</v>
      </c>
      <c r="F10" s="4">
        <v>80</v>
      </c>
      <c r="G10" t="s">
        <v>907</v>
      </c>
      <c r="H10" s="6"/>
      <c r="I10" s="6"/>
    </row>
    <row r="11" spans="1:10">
      <c r="A11" s="7">
        <v>46095</v>
      </c>
      <c r="B11" t="s">
        <v>904</v>
      </c>
      <c r="C11" t="s">
        <v>919</v>
      </c>
      <c r="D11" t="s">
        <v>918</v>
      </c>
      <c r="E11" t="s">
        <v>10</v>
      </c>
      <c r="F11" s="4">
        <v>10</v>
      </c>
      <c r="G11" t="s">
        <v>907</v>
      </c>
      <c r="H11" s="6"/>
      <c r="I11" s="6"/>
    </row>
    <row r="12" spans="1:10">
      <c r="A12" s="7">
        <v>46098</v>
      </c>
      <c r="B12" t="s">
        <v>904</v>
      </c>
      <c r="C12" t="s">
        <v>920</v>
      </c>
      <c r="D12" t="s">
        <v>921</v>
      </c>
      <c r="E12" t="s">
        <v>10</v>
      </c>
      <c r="F12" s="4">
        <v>200</v>
      </c>
      <c r="G12" t="s">
        <v>907</v>
      </c>
      <c r="H12" s="6" t="s">
        <v>438</v>
      </c>
      <c r="I12" s="6" t="s">
        <v>439</v>
      </c>
    </row>
    <row r="13" spans="1:10">
      <c r="A13" s="7">
        <v>46098</v>
      </c>
      <c r="B13" t="s">
        <v>904</v>
      </c>
      <c r="C13" t="s">
        <v>922</v>
      </c>
      <c r="D13" t="s">
        <v>923</v>
      </c>
      <c r="E13" t="s">
        <v>10</v>
      </c>
      <c r="F13" s="4">
        <v>50</v>
      </c>
      <c r="G13" t="s">
        <v>907</v>
      </c>
      <c r="H13" s="6" t="s">
        <v>433</v>
      </c>
      <c r="I13" s="6" t="s">
        <v>434</v>
      </c>
    </row>
    <row r="14" spans="1:10">
      <c r="A14" s="7">
        <v>46098</v>
      </c>
      <c r="B14" t="s">
        <v>904</v>
      </c>
      <c r="C14" t="s">
        <v>924</v>
      </c>
      <c r="D14" t="s">
        <v>925</v>
      </c>
      <c r="E14" t="s">
        <v>10</v>
      </c>
      <c r="F14" s="4">
        <v>45</v>
      </c>
      <c r="G14" t="s">
        <v>907</v>
      </c>
      <c r="H14" s="6" t="s">
        <v>926</v>
      </c>
      <c r="I14" s="6" t="s">
        <v>636</v>
      </c>
    </row>
    <row r="15" spans="1:10">
      <c r="A15" s="7">
        <v>46099</v>
      </c>
      <c r="B15" t="s">
        <v>904</v>
      </c>
      <c r="C15" t="s">
        <v>927</v>
      </c>
      <c r="D15" t="s">
        <v>928</v>
      </c>
      <c r="E15" t="s">
        <v>10</v>
      </c>
      <c r="F15" s="4">
        <v>10</v>
      </c>
      <c r="G15" t="s">
        <v>907</v>
      </c>
      <c r="H15" s="6" t="s">
        <v>929</v>
      </c>
      <c r="I15" s="6" t="s">
        <v>448</v>
      </c>
    </row>
    <row r="16" spans="1:10">
      <c r="A16" s="7">
        <v>46100</v>
      </c>
      <c r="B16" t="s">
        <v>904</v>
      </c>
      <c r="C16" t="s">
        <v>930</v>
      </c>
      <c r="D16" t="s">
        <v>448</v>
      </c>
      <c r="E16" t="s">
        <v>10</v>
      </c>
      <c r="F16" s="4">
        <v>10</v>
      </c>
      <c r="G16" t="s">
        <v>907</v>
      </c>
      <c r="H16" s="6" t="s">
        <v>929</v>
      </c>
      <c r="I16" s="6" t="s">
        <v>448</v>
      </c>
    </row>
    <row r="17" spans="1:10">
      <c r="A17" s="7">
        <v>46101</v>
      </c>
      <c r="B17" t="s">
        <v>904</v>
      </c>
      <c r="C17" t="s">
        <v>931</v>
      </c>
      <c r="D17" t="s">
        <v>912</v>
      </c>
      <c r="E17" t="s">
        <v>10</v>
      </c>
      <c r="F17" s="4">
        <v>30</v>
      </c>
      <c r="G17" t="s">
        <v>907</v>
      </c>
      <c r="H17" s="6" t="s">
        <v>913</v>
      </c>
      <c r="I17" s="6" t="s">
        <v>616</v>
      </c>
    </row>
    <row r="18" spans="1:10">
      <c r="A18" s="7">
        <v>46101</v>
      </c>
      <c r="B18" t="s">
        <v>904</v>
      </c>
      <c r="C18" t="s">
        <v>931</v>
      </c>
      <c r="D18" t="s">
        <v>932</v>
      </c>
      <c r="E18" t="s">
        <v>10</v>
      </c>
      <c r="F18" s="4">
        <v>30</v>
      </c>
      <c r="G18" t="s">
        <v>907</v>
      </c>
      <c r="H18" s="6" t="s">
        <v>933</v>
      </c>
      <c r="I18" s="6" t="s">
        <v>488</v>
      </c>
    </row>
    <row r="19" spans="1:10">
      <c r="A19" s="7">
        <v>46102</v>
      </c>
      <c r="B19" t="s">
        <v>904</v>
      </c>
      <c r="C19" t="s">
        <v>934</v>
      </c>
      <c r="D19" t="s">
        <v>423</v>
      </c>
      <c r="E19" t="s">
        <v>10</v>
      </c>
      <c r="F19" s="4">
        <v>50</v>
      </c>
      <c r="G19" t="s">
        <v>907</v>
      </c>
      <c r="H19" s="6" t="s">
        <v>422</v>
      </c>
      <c r="I19" s="6" t="s">
        <v>423</v>
      </c>
    </row>
    <row r="20" spans="1:10">
      <c r="A20" s="7">
        <v>46102</v>
      </c>
      <c r="B20" t="s">
        <v>904</v>
      </c>
      <c r="C20" t="s">
        <v>934</v>
      </c>
      <c r="D20" t="s">
        <v>935</v>
      </c>
      <c r="E20" t="s">
        <v>10</v>
      </c>
      <c r="F20" s="4">
        <v>50</v>
      </c>
      <c r="G20" t="s">
        <v>907</v>
      </c>
      <c r="H20" s="6" t="s">
        <v>420</v>
      </c>
      <c r="I20" s="6" t="s">
        <v>421</v>
      </c>
    </row>
    <row r="21" spans="1:10">
      <c r="A21" s="7">
        <v>46105</v>
      </c>
      <c r="B21" t="s">
        <v>904</v>
      </c>
      <c r="C21" t="s">
        <v>936</v>
      </c>
      <c r="D21" t="s">
        <v>937</v>
      </c>
      <c r="E21" t="s">
        <v>10</v>
      </c>
      <c r="F21" s="4">
        <v>30</v>
      </c>
      <c r="G21" t="s">
        <v>907</v>
      </c>
      <c r="H21" s="6" t="s">
        <v>592</v>
      </c>
      <c r="I21" s="6" t="s">
        <v>593</v>
      </c>
    </row>
    <row r="22" spans="1:10">
      <c r="A22" s="7">
        <v>46105</v>
      </c>
      <c r="B22" t="s">
        <v>904</v>
      </c>
      <c r="C22" t="s">
        <v>938</v>
      </c>
      <c r="D22" t="s">
        <v>939</v>
      </c>
      <c r="E22" t="s">
        <v>10</v>
      </c>
      <c r="F22" s="4">
        <v>50</v>
      </c>
      <c r="G22" t="s">
        <v>907</v>
      </c>
      <c r="H22" s="6" t="s">
        <v>940</v>
      </c>
      <c r="I22" s="6" t="s">
        <v>398</v>
      </c>
    </row>
    <row r="23" spans="1:10">
      <c r="A23" s="7">
        <v>46112</v>
      </c>
      <c r="B23" t="s">
        <v>904</v>
      </c>
      <c r="D23" t="s">
        <v>941</v>
      </c>
      <c r="E23" t="s">
        <v>942</v>
      </c>
      <c r="F23" s="4">
        <v>16.2</v>
      </c>
      <c r="G23" t="s">
        <v>943</v>
      </c>
      <c r="H23" s="6"/>
      <c r="I23" s="6"/>
      <c r="J23" t="s">
        <v>944</v>
      </c>
    </row>
    <row r="24" spans="1:10">
      <c r="A24" s="7">
        <v>46112</v>
      </c>
      <c r="B24" t="s">
        <v>904</v>
      </c>
      <c r="D24" t="s">
        <v>945</v>
      </c>
      <c r="E24" t="s">
        <v>942</v>
      </c>
      <c r="F24" s="4">
        <v>10</v>
      </c>
      <c r="G24" t="s">
        <v>943</v>
      </c>
      <c r="H24" s="6"/>
      <c r="I24" s="6"/>
      <c r="J24" t="s">
        <v>944</v>
      </c>
    </row>
    <row r="25" spans="1:10">
      <c r="A25" s="7">
        <v>46112</v>
      </c>
      <c r="B25" t="s">
        <v>904</v>
      </c>
      <c r="D25" t="s">
        <v>946</v>
      </c>
      <c r="E25" t="s">
        <v>942</v>
      </c>
      <c r="F25" s="4">
        <v>150</v>
      </c>
      <c r="G25" t="s">
        <v>943</v>
      </c>
      <c r="H25" s="6"/>
      <c r="I25" s="6"/>
      <c r="J25" t="s">
        <v>944</v>
      </c>
    </row>
    <row r="26" spans="1:10">
      <c r="A26" s="7">
        <v>46112</v>
      </c>
      <c r="B26" t="s">
        <v>904</v>
      </c>
      <c r="D26" t="s">
        <v>947</v>
      </c>
      <c r="E26" t="s">
        <v>942</v>
      </c>
      <c r="F26" s="4">
        <v>400</v>
      </c>
      <c r="G26" t="s">
        <v>943</v>
      </c>
      <c r="H26" s="6"/>
      <c r="I26" s="6"/>
      <c r="J26" t="s">
        <v>944</v>
      </c>
    </row>
    <row r="27" spans="1:10">
      <c r="A27" s="7">
        <v>46112</v>
      </c>
      <c r="B27" t="s">
        <v>904</v>
      </c>
      <c r="D27" t="s">
        <v>948</v>
      </c>
      <c r="E27" t="s">
        <v>942</v>
      </c>
      <c r="F27" s="4">
        <v>250</v>
      </c>
      <c r="G27" t="s">
        <v>943</v>
      </c>
      <c r="H27" s="6"/>
      <c r="I27" s="6"/>
      <c r="J27" t="s">
        <v>944</v>
      </c>
    </row>
    <row r="28" spans="1:10">
      <c r="A28" s="7">
        <v>46118</v>
      </c>
      <c r="B28" t="s">
        <v>949</v>
      </c>
      <c r="C28" t="s">
        <v>950</v>
      </c>
      <c r="D28" t="s">
        <v>951</v>
      </c>
      <c r="E28" t="s">
        <v>10</v>
      </c>
      <c r="F28" s="4">
        <v>25</v>
      </c>
      <c r="G28" t="s">
        <v>907</v>
      </c>
      <c r="H28" s="6" t="s">
        <v>404</v>
      </c>
      <c r="I28" s="6" t="s">
        <v>405</v>
      </c>
    </row>
    <row r="29" spans="1:10">
      <c r="A29" s="7">
        <v>46119</v>
      </c>
      <c r="B29" t="s">
        <v>949</v>
      </c>
      <c r="C29" t="s">
        <v>909</v>
      </c>
      <c r="D29" t="s">
        <v>400</v>
      </c>
      <c r="E29" t="s">
        <v>10</v>
      </c>
      <c r="F29" s="4">
        <v>25</v>
      </c>
      <c r="G29" t="s">
        <v>907</v>
      </c>
      <c r="H29" s="6" t="s">
        <v>399</v>
      </c>
      <c r="I29" s="6" t="s">
        <v>400</v>
      </c>
    </row>
    <row r="30" spans="1:10">
      <c r="A30" s="7">
        <v>46120</v>
      </c>
      <c r="B30" t="s">
        <v>949</v>
      </c>
      <c r="C30" t="s">
        <v>952</v>
      </c>
      <c r="D30" t="s">
        <v>953</v>
      </c>
      <c r="E30" t="s">
        <v>10</v>
      </c>
      <c r="F30" s="4">
        <v>30</v>
      </c>
      <c r="G30" t="s">
        <v>907</v>
      </c>
      <c r="H30" s="6" t="s">
        <v>954</v>
      </c>
      <c r="I30" s="6" t="s">
        <v>577</v>
      </c>
    </row>
    <row r="31" spans="1:10">
      <c r="A31" s="7">
        <v>46127</v>
      </c>
      <c r="B31" t="s">
        <v>949</v>
      </c>
      <c r="C31" t="s">
        <v>955</v>
      </c>
      <c r="D31" t="s">
        <v>956</v>
      </c>
      <c r="E31" t="s">
        <v>10</v>
      </c>
      <c r="F31" s="4">
        <v>204</v>
      </c>
      <c r="G31" t="s">
        <v>907</v>
      </c>
      <c r="H31" s="6" t="s">
        <v>957</v>
      </c>
      <c r="I31" s="6" t="s">
        <v>396</v>
      </c>
    </row>
    <row r="32" spans="1:10">
      <c r="A32" s="7">
        <v>46134</v>
      </c>
      <c r="B32" t="s">
        <v>949</v>
      </c>
      <c r="C32" t="s">
        <v>958</v>
      </c>
      <c r="D32" t="s">
        <v>959</v>
      </c>
      <c r="E32" t="s">
        <v>10</v>
      </c>
      <c r="F32" s="4">
        <v>90</v>
      </c>
      <c r="G32" t="s">
        <v>907</v>
      </c>
      <c r="H32" s="6" t="s">
        <v>960</v>
      </c>
      <c r="I32" s="6" t="s">
        <v>567</v>
      </c>
    </row>
    <row r="33" spans="1:10">
      <c r="A33" s="7">
        <v>46136</v>
      </c>
      <c r="B33" t="s">
        <v>949</v>
      </c>
      <c r="C33" t="s">
        <v>961</v>
      </c>
      <c r="D33" t="s">
        <v>962</v>
      </c>
      <c r="E33" t="s">
        <v>10</v>
      </c>
      <c r="F33" s="4">
        <v>50</v>
      </c>
      <c r="G33" t="s">
        <v>907</v>
      </c>
      <c r="H33" s="6" t="s">
        <v>399</v>
      </c>
      <c r="I33" s="6" t="s">
        <v>400</v>
      </c>
    </row>
    <row r="34" spans="1:10">
      <c r="A34" s="7">
        <v>46136</v>
      </c>
      <c r="B34" t="s">
        <v>949</v>
      </c>
      <c r="C34" t="s">
        <v>961</v>
      </c>
      <c r="D34" t="s">
        <v>963</v>
      </c>
      <c r="E34" t="s">
        <v>10</v>
      </c>
      <c r="F34" s="4">
        <v>10</v>
      </c>
      <c r="G34" t="s">
        <v>907</v>
      </c>
      <c r="H34" s="6" t="s">
        <v>399</v>
      </c>
      <c r="I34" s="6" t="s">
        <v>400</v>
      </c>
    </row>
    <row r="35" spans="1:10">
      <c r="A35" s="7">
        <v>46136</v>
      </c>
      <c r="B35" t="s">
        <v>949</v>
      </c>
      <c r="C35" t="s">
        <v>919</v>
      </c>
      <c r="D35" t="s">
        <v>918</v>
      </c>
      <c r="E35" t="s">
        <v>10</v>
      </c>
      <c r="F35" s="4">
        <v>10</v>
      </c>
      <c r="G35" t="s">
        <v>907</v>
      </c>
      <c r="H35" s="6"/>
      <c r="I35" s="6"/>
    </row>
    <row r="36" spans="1:10">
      <c r="A36" s="7">
        <v>46137</v>
      </c>
      <c r="B36" t="s">
        <v>949</v>
      </c>
      <c r="C36" t="s">
        <v>964</v>
      </c>
      <c r="D36" t="s">
        <v>965</v>
      </c>
      <c r="E36" t="s">
        <v>10</v>
      </c>
      <c r="F36" s="4">
        <v>30</v>
      </c>
      <c r="G36" t="s">
        <v>907</v>
      </c>
      <c r="H36" s="6" t="s">
        <v>913</v>
      </c>
      <c r="I36" s="6" t="s">
        <v>616</v>
      </c>
    </row>
    <row r="37" spans="1:10">
      <c r="A37" s="7">
        <v>46142</v>
      </c>
      <c r="B37" t="s">
        <v>949</v>
      </c>
      <c r="D37" t="s">
        <v>966</v>
      </c>
      <c r="E37" t="s">
        <v>942</v>
      </c>
      <c r="F37" s="4">
        <v>26.36</v>
      </c>
      <c r="G37" t="s">
        <v>943</v>
      </c>
      <c r="H37" s="6"/>
      <c r="I37" s="6"/>
      <c r="J37" t="s">
        <v>944</v>
      </c>
    </row>
    <row r="38" spans="1:10">
      <c r="A38" s="7">
        <v>46142</v>
      </c>
      <c r="B38" t="s">
        <v>949</v>
      </c>
      <c r="D38" t="s">
        <v>967</v>
      </c>
      <c r="E38" t="s">
        <v>942</v>
      </c>
      <c r="F38" s="4">
        <v>75</v>
      </c>
      <c r="G38" t="s">
        <v>943</v>
      </c>
      <c r="H38" s="6"/>
      <c r="I38" s="6"/>
      <c r="J38" t="s">
        <v>944</v>
      </c>
    </row>
    <row r="39" spans="1:10">
      <c r="A39" s="7">
        <v>46142</v>
      </c>
      <c r="B39" t="s">
        <v>949</v>
      </c>
      <c r="D39" t="s">
        <v>968</v>
      </c>
      <c r="E39" t="s">
        <v>942</v>
      </c>
      <c r="F39" s="4">
        <v>11.14</v>
      </c>
      <c r="G39" t="s">
        <v>943</v>
      </c>
      <c r="H39" s="6"/>
      <c r="I39" s="6"/>
      <c r="J39" t="s">
        <v>944</v>
      </c>
    </row>
    <row r="40" spans="1:10">
      <c r="A40" s="7">
        <v>46142</v>
      </c>
      <c r="B40" t="s">
        <v>949</v>
      </c>
      <c r="D40" t="s">
        <v>947</v>
      </c>
      <c r="E40" t="s">
        <v>942</v>
      </c>
      <c r="F40" s="4">
        <v>400</v>
      </c>
      <c r="G40" t="s">
        <v>943</v>
      </c>
      <c r="H40" s="6"/>
      <c r="I40" s="6"/>
      <c r="J40" t="s">
        <v>944</v>
      </c>
    </row>
    <row r="41" spans="1:10">
      <c r="A41" s="7">
        <v>46142</v>
      </c>
      <c r="B41" t="s">
        <v>949</v>
      </c>
      <c r="D41" t="s">
        <v>948</v>
      </c>
      <c r="E41" t="s">
        <v>942</v>
      </c>
      <c r="F41" s="4">
        <v>450</v>
      </c>
      <c r="G41" t="s">
        <v>943</v>
      </c>
      <c r="H41" s="6"/>
      <c r="I41" s="6"/>
      <c r="J41" t="s">
        <v>944</v>
      </c>
    </row>
    <row r="42" spans="1:10">
      <c r="A42" s="7">
        <v>46146</v>
      </c>
      <c r="B42" t="s">
        <v>969</v>
      </c>
      <c r="C42" t="s">
        <v>909</v>
      </c>
      <c r="D42" t="s">
        <v>970</v>
      </c>
      <c r="E42" t="s">
        <v>10</v>
      </c>
      <c r="F42" s="4">
        <v>5.5</v>
      </c>
      <c r="G42" t="s">
        <v>907</v>
      </c>
      <c r="H42" s="6" t="s">
        <v>910</v>
      </c>
      <c r="I42" s="6" t="s">
        <v>444</v>
      </c>
    </row>
    <row r="43" spans="1:10">
      <c r="A43" s="7">
        <v>46146</v>
      </c>
      <c r="B43" t="s">
        <v>969</v>
      </c>
      <c r="C43" t="s">
        <v>909</v>
      </c>
      <c r="D43" t="s">
        <v>971</v>
      </c>
      <c r="E43" t="s">
        <v>10</v>
      </c>
      <c r="F43" s="4">
        <v>100</v>
      </c>
      <c r="G43" t="s">
        <v>907</v>
      </c>
      <c r="H43" s="6" t="s">
        <v>917</v>
      </c>
      <c r="I43" s="6" t="s">
        <v>619</v>
      </c>
    </row>
    <row r="44" spans="1:10">
      <c r="A44" s="7">
        <v>46147</v>
      </c>
      <c r="B44" t="s">
        <v>969</v>
      </c>
      <c r="C44" t="s">
        <v>930</v>
      </c>
      <c r="D44" t="s">
        <v>972</v>
      </c>
      <c r="E44" t="s">
        <v>10</v>
      </c>
      <c r="F44" s="4">
        <v>40</v>
      </c>
      <c r="G44" t="s">
        <v>907</v>
      </c>
      <c r="H44" s="6" t="s">
        <v>929</v>
      </c>
      <c r="I44" s="6" t="s">
        <v>448</v>
      </c>
    </row>
    <row r="45" spans="1:10">
      <c r="A45" s="7">
        <v>46151</v>
      </c>
      <c r="B45" t="s">
        <v>969</v>
      </c>
      <c r="C45" t="s">
        <v>964</v>
      </c>
      <c r="D45" t="s">
        <v>973</v>
      </c>
      <c r="E45" t="s">
        <v>10</v>
      </c>
      <c r="F45" s="4">
        <v>75</v>
      </c>
      <c r="G45" t="s">
        <v>907</v>
      </c>
      <c r="H45" s="6" t="s">
        <v>597</v>
      </c>
      <c r="I45" s="6" t="s">
        <v>598</v>
      </c>
    </row>
    <row r="46" spans="1:10">
      <c r="A46" s="7">
        <v>46152</v>
      </c>
      <c r="B46" t="s">
        <v>969</v>
      </c>
      <c r="C46" t="s">
        <v>914</v>
      </c>
      <c r="D46" t="s">
        <v>974</v>
      </c>
      <c r="E46" t="s">
        <v>10</v>
      </c>
      <c r="F46" s="4">
        <v>100</v>
      </c>
      <c r="G46" t="s">
        <v>907</v>
      </c>
      <c r="H46" s="6" t="s">
        <v>913</v>
      </c>
      <c r="I46" s="6" t="s">
        <v>616</v>
      </c>
    </row>
    <row r="47" spans="1:10">
      <c r="A47" s="7">
        <v>46152</v>
      </c>
      <c r="B47" t="s">
        <v>969</v>
      </c>
      <c r="C47" t="s">
        <v>975</v>
      </c>
      <c r="D47" t="s">
        <v>976</v>
      </c>
      <c r="E47" t="s">
        <v>10</v>
      </c>
      <c r="F47" s="4">
        <v>50</v>
      </c>
      <c r="G47" t="s">
        <v>907</v>
      </c>
      <c r="H47" s="6" t="s">
        <v>913</v>
      </c>
      <c r="I47" s="6" t="s">
        <v>616</v>
      </c>
    </row>
    <row r="48" spans="1:10">
      <c r="A48" s="7">
        <v>46152</v>
      </c>
      <c r="B48" t="s">
        <v>969</v>
      </c>
      <c r="C48" t="s">
        <v>977</v>
      </c>
      <c r="D48" t="s">
        <v>978</v>
      </c>
      <c r="E48" t="s">
        <v>10</v>
      </c>
      <c r="F48" s="4">
        <v>450</v>
      </c>
      <c r="G48" t="s">
        <v>907</v>
      </c>
      <c r="H48" s="6" t="s">
        <v>913</v>
      </c>
      <c r="I48" s="6" t="s">
        <v>616</v>
      </c>
    </row>
    <row r="49" spans="1:10">
      <c r="A49" s="7">
        <v>46154</v>
      </c>
      <c r="B49" t="s">
        <v>969</v>
      </c>
      <c r="C49" t="s">
        <v>979</v>
      </c>
      <c r="D49" t="s">
        <v>980</v>
      </c>
      <c r="E49" t="s">
        <v>10</v>
      </c>
      <c r="F49" s="4">
        <v>25</v>
      </c>
      <c r="G49" t="s">
        <v>907</v>
      </c>
      <c r="H49" s="6" t="s">
        <v>981</v>
      </c>
      <c r="I49" s="6" t="s">
        <v>789</v>
      </c>
    </row>
    <row r="50" spans="1:10">
      <c r="A50" s="7">
        <v>46156</v>
      </c>
      <c r="B50" t="s">
        <v>969</v>
      </c>
      <c r="C50" t="s">
        <v>905</v>
      </c>
      <c r="D50" t="s">
        <v>982</v>
      </c>
      <c r="E50" t="s">
        <v>10</v>
      </c>
      <c r="F50" s="4">
        <v>150</v>
      </c>
      <c r="G50" t="s">
        <v>907</v>
      </c>
      <c r="H50" s="6" t="s">
        <v>908</v>
      </c>
      <c r="I50" s="6" t="s">
        <v>390</v>
      </c>
    </row>
    <row r="51" spans="1:10">
      <c r="A51" s="7">
        <v>46156</v>
      </c>
      <c r="B51" t="s">
        <v>969</v>
      </c>
      <c r="C51" t="s">
        <v>983</v>
      </c>
      <c r="D51" t="s">
        <v>939</v>
      </c>
      <c r="E51" t="s">
        <v>10</v>
      </c>
      <c r="F51" s="4">
        <v>50</v>
      </c>
      <c r="G51" t="s">
        <v>907</v>
      </c>
      <c r="H51" s="6" t="s">
        <v>940</v>
      </c>
      <c r="I51" s="6" t="s">
        <v>398</v>
      </c>
    </row>
    <row r="52" spans="1:10">
      <c r="A52" s="7">
        <v>46159</v>
      </c>
      <c r="B52" t="s">
        <v>969</v>
      </c>
      <c r="C52" t="s">
        <v>984</v>
      </c>
      <c r="D52" t="s">
        <v>985</v>
      </c>
      <c r="E52" t="s">
        <v>10</v>
      </c>
      <c r="F52" s="4">
        <v>35</v>
      </c>
      <c r="G52" t="s">
        <v>907</v>
      </c>
      <c r="H52" s="6" t="s">
        <v>438</v>
      </c>
      <c r="I52" s="6" t="s">
        <v>439</v>
      </c>
    </row>
    <row r="53" spans="1:10">
      <c r="A53" s="7">
        <v>46159</v>
      </c>
      <c r="B53" t="s">
        <v>969</v>
      </c>
      <c r="C53" t="s">
        <v>986</v>
      </c>
      <c r="D53" t="s">
        <v>987</v>
      </c>
      <c r="E53" t="s">
        <v>10</v>
      </c>
      <c r="F53" s="4">
        <v>40</v>
      </c>
      <c r="G53" t="s">
        <v>907</v>
      </c>
      <c r="H53" s="6" t="s">
        <v>929</v>
      </c>
      <c r="I53" s="6" t="s">
        <v>448</v>
      </c>
    </row>
    <row r="54" spans="1:10">
      <c r="A54" s="7">
        <v>46161</v>
      </c>
      <c r="B54" t="s">
        <v>969</v>
      </c>
      <c r="C54" t="s">
        <v>920</v>
      </c>
      <c r="D54" t="s">
        <v>988</v>
      </c>
      <c r="E54" t="s">
        <v>10</v>
      </c>
      <c r="F54" s="4">
        <v>50</v>
      </c>
      <c r="G54" t="s">
        <v>907</v>
      </c>
      <c r="H54" s="6" t="s">
        <v>989</v>
      </c>
      <c r="I54" s="6" t="s">
        <v>491</v>
      </c>
    </row>
    <row r="55" spans="1:10">
      <c r="A55" s="7">
        <v>46161</v>
      </c>
      <c r="B55" t="s">
        <v>969</v>
      </c>
      <c r="C55" t="s">
        <v>990</v>
      </c>
      <c r="D55" t="s">
        <v>935</v>
      </c>
      <c r="E55" t="s">
        <v>10</v>
      </c>
      <c r="F55" s="4">
        <v>100</v>
      </c>
      <c r="G55" t="s">
        <v>907</v>
      </c>
      <c r="H55" s="6" t="s">
        <v>420</v>
      </c>
      <c r="I55" s="6" t="s">
        <v>421</v>
      </c>
    </row>
    <row r="56" spans="1:10">
      <c r="A56" s="7">
        <v>46162</v>
      </c>
      <c r="B56" t="s">
        <v>969</v>
      </c>
      <c r="C56" t="s">
        <v>991</v>
      </c>
      <c r="D56" t="s">
        <v>985</v>
      </c>
      <c r="E56" t="s">
        <v>10</v>
      </c>
      <c r="F56" s="4">
        <v>50</v>
      </c>
      <c r="G56" t="s">
        <v>907</v>
      </c>
      <c r="H56" s="6" t="s">
        <v>438</v>
      </c>
      <c r="I56" s="6" t="s">
        <v>439</v>
      </c>
    </row>
    <row r="57" spans="1:10">
      <c r="A57" s="7">
        <v>46163</v>
      </c>
      <c r="B57" t="s">
        <v>969</v>
      </c>
      <c r="C57" t="s">
        <v>991</v>
      </c>
      <c r="D57" t="s">
        <v>486</v>
      </c>
      <c r="E57" t="s">
        <v>10</v>
      </c>
      <c r="F57" s="4">
        <v>50</v>
      </c>
      <c r="G57" t="s">
        <v>907</v>
      </c>
      <c r="H57" s="6" t="s">
        <v>992</v>
      </c>
      <c r="I57" s="6" t="s">
        <v>486</v>
      </c>
    </row>
    <row r="58" spans="1:10">
      <c r="A58" s="7">
        <v>46163</v>
      </c>
      <c r="B58" t="s">
        <v>969</v>
      </c>
      <c r="C58" t="s">
        <v>993</v>
      </c>
      <c r="D58" t="s">
        <v>912</v>
      </c>
      <c r="E58" t="s">
        <v>10</v>
      </c>
      <c r="F58" s="4">
        <v>50</v>
      </c>
      <c r="G58" t="s">
        <v>907</v>
      </c>
      <c r="H58" s="6" t="s">
        <v>913</v>
      </c>
      <c r="I58" s="6" t="s">
        <v>616</v>
      </c>
    </row>
    <row r="59" spans="1:10">
      <c r="A59" s="7">
        <v>46166</v>
      </c>
      <c r="B59" t="s">
        <v>969</v>
      </c>
      <c r="C59" t="s">
        <v>994</v>
      </c>
      <c r="D59" t="s">
        <v>982</v>
      </c>
      <c r="E59" t="s">
        <v>10</v>
      </c>
      <c r="F59" s="4">
        <v>150</v>
      </c>
      <c r="G59" t="s">
        <v>907</v>
      </c>
      <c r="H59" s="6" t="s">
        <v>908</v>
      </c>
      <c r="I59" s="6" t="s">
        <v>390</v>
      </c>
    </row>
    <row r="60" spans="1:10">
      <c r="A60" s="7">
        <v>46166</v>
      </c>
      <c r="B60" t="s">
        <v>969</v>
      </c>
      <c r="C60" t="s">
        <v>905</v>
      </c>
      <c r="D60" t="s">
        <v>995</v>
      </c>
      <c r="E60" t="s">
        <v>10</v>
      </c>
      <c r="F60" s="4">
        <v>80</v>
      </c>
      <c r="G60" t="s">
        <v>907</v>
      </c>
      <c r="H60" s="6" t="s">
        <v>996</v>
      </c>
      <c r="I60" s="6" t="s">
        <v>407</v>
      </c>
    </row>
    <row r="61" spans="1:10">
      <c r="A61" s="7">
        <v>46172</v>
      </c>
      <c r="B61" t="s">
        <v>969</v>
      </c>
      <c r="C61" t="s">
        <v>997</v>
      </c>
      <c r="D61" t="s">
        <v>998</v>
      </c>
      <c r="E61" t="s">
        <v>10</v>
      </c>
      <c r="F61" s="4">
        <v>10</v>
      </c>
      <c r="G61" t="s">
        <v>907</v>
      </c>
      <c r="H61" s="6" t="s">
        <v>999</v>
      </c>
      <c r="I61" s="6" t="s">
        <v>441</v>
      </c>
    </row>
    <row r="62" spans="1:10">
      <c r="A62" s="7">
        <v>46173</v>
      </c>
      <c r="B62" t="s">
        <v>969</v>
      </c>
      <c r="C62" t="s">
        <v>1000</v>
      </c>
      <c r="D62" t="s">
        <v>965</v>
      </c>
      <c r="E62" t="s">
        <v>10</v>
      </c>
      <c r="F62" s="4">
        <v>30</v>
      </c>
      <c r="G62" t="s">
        <v>907</v>
      </c>
      <c r="H62" s="6" t="s">
        <v>913</v>
      </c>
      <c r="I62" s="6" t="s">
        <v>616</v>
      </c>
    </row>
    <row r="63" spans="1:10">
      <c r="A63" s="7">
        <v>46173</v>
      </c>
      <c r="B63" t="s">
        <v>969</v>
      </c>
      <c r="D63" t="s">
        <v>1001</v>
      </c>
      <c r="E63" t="s">
        <v>942</v>
      </c>
      <c r="F63" s="4">
        <v>26.46</v>
      </c>
      <c r="G63" t="s">
        <v>943</v>
      </c>
      <c r="H63" s="6"/>
      <c r="I63" s="6"/>
      <c r="J63" t="s">
        <v>944</v>
      </c>
    </row>
    <row r="64" spans="1:10">
      <c r="A64" s="7">
        <v>46173</v>
      </c>
      <c r="B64" t="s">
        <v>969</v>
      </c>
      <c r="D64" t="s">
        <v>1002</v>
      </c>
      <c r="E64" t="s">
        <v>942</v>
      </c>
      <c r="F64" s="4">
        <v>50.5</v>
      </c>
      <c r="G64" t="s">
        <v>943</v>
      </c>
      <c r="H64" s="6"/>
      <c r="I64" s="6"/>
      <c r="J64" t="s">
        <v>944</v>
      </c>
    </row>
    <row r="65" spans="1:10">
      <c r="A65" s="7">
        <v>46173</v>
      </c>
      <c r="B65" t="s">
        <v>969</v>
      </c>
      <c r="D65" t="s">
        <v>947</v>
      </c>
      <c r="E65" t="s">
        <v>942</v>
      </c>
      <c r="F65" s="4">
        <v>400</v>
      </c>
      <c r="G65" t="s">
        <v>943</v>
      </c>
      <c r="H65" s="6"/>
      <c r="I65" s="6"/>
      <c r="J65" t="s">
        <v>944</v>
      </c>
    </row>
    <row r="66" spans="1:10">
      <c r="A66" s="7">
        <v>46173</v>
      </c>
      <c r="B66" t="s">
        <v>969</v>
      </c>
      <c r="D66" t="s">
        <v>1003</v>
      </c>
      <c r="E66" t="s">
        <v>942</v>
      </c>
      <c r="F66" s="4">
        <v>450</v>
      </c>
      <c r="G66" t="s">
        <v>943</v>
      </c>
      <c r="H66" s="6"/>
      <c r="I66" s="6"/>
      <c r="J66" t="s">
        <v>944</v>
      </c>
    </row>
    <row r="67" spans="1:10">
      <c r="A67" s="7">
        <v>46173</v>
      </c>
      <c r="B67" t="s">
        <v>969</v>
      </c>
      <c r="D67" t="s">
        <v>967</v>
      </c>
      <c r="E67" t="s">
        <v>942</v>
      </c>
      <c r="F67" s="4">
        <v>60</v>
      </c>
      <c r="G67" t="s">
        <v>943</v>
      </c>
      <c r="H67" s="6"/>
      <c r="I67" s="6"/>
      <c r="J67" t="s">
        <v>944</v>
      </c>
    </row>
    <row r="68" spans="1:10">
      <c r="A68" s="7">
        <v>46173</v>
      </c>
      <c r="B68" t="s">
        <v>969</v>
      </c>
      <c r="D68" t="s">
        <v>1004</v>
      </c>
      <c r="E68" t="s">
        <v>942</v>
      </c>
      <c r="F68" s="4">
        <v>35</v>
      </c>
      <c r="G68" t="s">
        <v>943</v>
      </c>
      <c r="H68" s="6"/>
      <c r="I68" s="6"/>
      <c r="J68" t="s">
        <v>944</v>
      </c>
    </row>
    <row r="69" spans="1:10">
      <c r="A69" s="7">
        <v>46181</v>
      </c>
      <c r="B69" t="s">
        <v>1005</v>
      </c>
      <c r="C69" t="s">
        <v>1006</v>
      </c>
      <c r="D69" t="s">
        <v>1007</v>
      </c>
      <c r="E69" t="s">
        <v>10</v>
      </c>
      <c r="F69" s="4">
        <v>25</v>
      </c>
      <c r="G69" t="s">
        <v>907</v>
      </c>
      <c r="H69" s="6" t="s">
        <v>999</v>
      </c>
      <c r="I69" s="6" t="s">
        <v>441</v>
      </c>
    </row>
    <row r="70" spans="1:10">
      <c r="A70" s="7">
        <v>46182</v>
      </c>
      <c r="B70" t="s">
        <v>1005</v>
      </c>
      <c r="C70" t="s">
        <v>958</v>
      </c>
      <c r="D70" t="s">
        <v>446</v>
      </c>
      <c r="E70" t="s">
        <v>10</v>
      </c>
      <c r="F70" s="4">
        <v>25</v>
      </c>
      <c r="G70" t="s">
        <v>907</v>
      </c>
      <c r="H70" s="6" t="s">
        <v>1008</v>
      </c>
      <c r="I70" s="6" t="s">
        <v>446</v>
      </c>
    </row>
    <row r="71" spans="1:10">
      <c r="A71" s="7">
        <v>46186</v>
      </c>
      <c r="B71" t="s">
        <v>1005</v>
      </c>
      <c r="C71" t="s">
        <v>1009</v>
      </c>
      <c r="D71" t="s">
        <v>985</v>
      </c>
      <c r="E71" t="s">
        <v>10</v>
      </c>
      <c r="F71" s="4">
        <v>100</v>
      </c>
      <c r="G71" t="s">
        <v>907</v>
      </c>
      <c r="H71" s="6" t="s">
        <v>438</v>
      </c>
      <c r="I71" s="6" t="s">
        <v>439</v>
      </c>
    </row>
    <row r="72" spans="1:10">
      <c r="A72" s="7">
        <v>46186</v>
      </c>
      <c r="B72" t="s">
        <v>1005</v>
      </c>
      <c r="C72" t="s">
        <v>986</v>
      </c>
      <c r="D72" t="s">
        <v>982</v>
      </c>
      <c r="E72" t="s">
        <v>10</v>
      </c>
      <c r="F72" s="4">
        <v>25</v>
      </c>
      <c r="G72" t="s">
        <v>907</v>
      </c>
      <c r="H72" s="6" t="s">
        <v>399</v>
      </c>
      <c r="I72" s="6" t="s">
        <v>400</v>
      </c>
    </row>
    <row r="73" spans="1:10">
      <c r="A73" s="7">
        <v>46186</v>
      </c>
      <c r="B73" t="s">
        <v>1005</v>
      </c>
      <c r="C73" t="s">
        <v>905</v>
      </c>
      <c r="D73" t="s">
        <v>1010</v>
      </c>
      <c r="E73" t="s">
        <v>10</v>
      </c>
      <c r="F73" s="4">
        <v>400</v>
      </c>
      <c r="G73" t="s">
        <v>907</v>
      </c>
      <c r="H73" s="6" t="s">
        <v>460</v>
      </c>
      <c r="I73" s="6" t="s">
        <v>461</v>
      </c>
    </row>
    <row r="74" spans="1:10">
      <c r="A74" s="7">
        <v>46186</v>
      </c>
      <c r="B74" t="s">
        <v>1005</v>
      </c>
      <c r="C74" t="s">
        <v>1011</v>
      </c>
      <c r="D74" t="s">
        <v>982</v>
      </c>
      <c r="E74" t="s">
        <v>10</v>
      </c>
      <c r="F74" s="4">
        <v>25</v>
      </c>
      <c r="G74" t="s">
        <v>907</v>
      </c>
      <c r="H74" s="6" t="s">
        <v>399</v>
      </c>
      <c r="I74" s="6" t="s">
        <v>400</v>
      </c>
    </row>
    <row r="75" spans="1:10">
      <c r="A75" s="7">
        <v>46186</v>
      </c>
      <c r="B75" t="s">
        <v>1005</v>
      </c>
      <c r="C75" t="s">
        <v>909</v>
      </c>
      <c r="D75" t="s">
        <v>965</v>
      </c>
      <c r="E75" t="s">
        <v>10</v>
      </c>
      <c r="F75" s="4">
        <v>50</v>
      </c>
      <c r="G75" t="s">
        <v>907</v>
      </c>
      <c r="H75" s="6" t="s">
        <v>913</v>
      </c>
      <c r="I75" s="6" t="s">
        <v>616</v>
      </c>
    </row>
    <row r="76" spans="1:10">
      <c r="A76" s="7">
        <v>46188</v>
      </c>
      <c r="B76" t="s">
        <v>1005</v>
      </c>
      <c r="C76" t="s">
        <v>990</v>
      </c>
      <c r="D76" t="s">
        <v>935</v>
      </c>
      <c r="E76" t="s">
        <v>10</v>
      </c>
      <c r="F76" s="4">
        <v>50</v>
      </c>
      <c r="G76" t="s">
        <v>907</v>
      </c>
      <c r="H76" s="6" t="s">
        <v>420</v>
      </c>
      <c r="I76" s="6" t="s">
        <v>421</v>
      </c>
    </row>
    <row r="77" spans="1:10">
      <c r="A77" s="7">
        <v>46196</v>
      </c>
      <c r="B77" t="s">
        <v>1005</v>
      </c>
      <c r="C77" t="s">
        <v>958</v>
      </c>
      <c r="D77" t="s">
        <v>987</v>
      </c>
      <c r="E77" t="s">
        <v>10</v>
      </c>
      <c r="F77" s="4">
        <v>25</v>
      </c>
      <c r="G77" t="s">
        <v>907</v>
      </c>
      <c r="H77" s="6" t="s">
        <v>929</v>
      </c>
      <c r="I77" s="6" t="s">
        <v>448</v>
      </c>
    </row>
    <row r="78" spans="1:10">
      <c r="A78" s="7">
        <v>46196</v>
      </c>
      <c r="B78" t="s">
        <v>1005</v>
      </c>
      <c r="C78" t="s">
        <v>1012</v>
      </c>
      <c r="D78" t="s">
        <v>1013</v>
      </c>
      <c r="E78" t="s">
        <v>10</v>
      </c>
      <c r="F78" s="4">
        <v>900</v>
      </c>
      <c r="G78" t="s">
        <v>907</v>
      </c>
      <c r="H78" s="6" t="s">
        <v>449</v>
      </c>
      <c r="I78" s="6" t="s">
        <v>450</v>
      </c>
    </row>
    <row r="79" spans="1:10">
      <c r="A79" s="7">
        <v>46196</v>
      </c>
      <c r="B79" t="s">
        <v>1005</v>
      </c>
      <c r="C79" t="s">
        <v>1014</v>
      </c>
      <c r="D79" t="s">
        <v>1015</v>
      </c>
      <c r="E79" t="s">
        <v>10</v>
      </c>
      <c r="F79" s="4">
        <v>50</v>
      </c>
      <c r="G79" t="s">
        <v>907</v>
      </c>
      <c r="H79" s="6" t="s">
        <v>1016</v>
      </c>
      <c r="I79" s="6" t="s">
        <v>517</v>
      </c>
    </row>
    <row r="80" spans="1:10">
      <c r="A80" s="7">
        <v>46196</v>
      </c>
      <c r="B80" t="s">
        <v>1005</v>
      </c>
      <c r="C80" t="s">
        <v>1017</v>
      </c>
      <c r="D80" t="s">
        <v>1018</v>
      </c>
      <c r="E80" t="s">
        <v>10</v>
      </c>
      <c r="F80" s="4">
        <v>20</v>
      </c>
      <c r="G80" t="s">
        <v>907</v>
      </c>
      <c r="H80" s="6" t="s">
        <v>960</v>
      </c>
      <c r="I80" s="6" t="s">
        <v>567</v>
      </c>
    </row>
    <row r="81" spans="1:10">
      <c r="A81" s="7">
        <v>46199</v>
      </c>
      <c r="B81" t="s">
        <v>1005</v>
      </c>
      <c r="C81" t="s">
        <v>964</v>
      </c>
      <c r="D81" t="s">
        <v>1018</v>
      </c>
      <c r="E81" t="s">
        <v>10</v>
      </c>
      <c r="F81" s="4">
        <v>40</v>
      </c>
      <c r="G81" t="s">
        <v>907</v>
      </c>
      <c r="H81" s="6" t="s">
        <v>960</v>
      </c>
      <c r="I81" s="6" t="s">
        <v>567</v>
      </c>
    </row>
    <row r="82" spans="1:10">
      <c r="A82" s="7">
        <v>46199</v>
      </c>
      <c r="B82" t="s">
        <v>1005</v>
      </c>
      <c r="C82" t="s">
        <v>1019</v>
      </c>
      <c r="D82" t="s">
        <v>1020</v>
      </c>
      <c r="E82" t="s">
        <v>10</v>
      </c>
      <c r="F82" s="4">
        <v>100</v>
      </c>
      <c r="G82" t="s">
        <v>907</v>
      </c>
      <c r="H82" s="6" t="s">
        <v>1021</v>
      </c>
      <c r="I82" s="6" t="s">
        <v>394</v>
      </c>
    </row>
    <row r="83" spans="1:10">
      <c r="A83" s="7">
        <v>46203</v>
      </c>
      <c r="B83" t="s">
        <v>1005</v>
      </c>
      <c r="C83" t="s">
        <v>1006</v>
      </c>
      <c r="D83" t="s">
        <v>951</v>
      </c>
      <c r="E83" t="s">
        <v>10</v>
      </c>
      <c r="F83" s="4">
        <v>25</v>
      </c>
      <c r="G83" t="s">
        <v>907</v>
      </c>
      <c r="H83" s="6" t="s">
        <v>404</v>
      </c>
      <c r="I83" s="6" t="s">
        <v>405</v>
      </c>
    </row>
    <row r="84" spans="1:10">
      <c r="A84" s="7">
        <v>46203</v>
      </c>
      <c r="B84" t="s">
        <v>1005</v>
      </c>
      <c r="D84" t="s">
        <v>1022</v>
      </c>
      <c r="E84" t="s">
        <v>942</v>
      </c>
      <c r="F84" s="4">
        <v>25.72</v>
      </c>
      <c r="G84" t="s">
        <v>943</v>
      </c>
      <c r="H84" s="6"/>
      <c r="I84" s="6"/>
      <c r="J84" t="s">
        <v>944</v>
      </c>
    </row>
    <row r="85" spans="1:10">
      <c r="A85" s="7">
        <v>46203</v>
      </c>
      <c r="B85" t="s">
        <v>1005</v>
      </c>
      <c r="D85" t="s">
        <v>1023</v>
      </c>
      <c r="E85" t="s">
        <v>942</v>
      </c>
      <c r="F85" s="4">
        <v>550</v>
      </c>
      <c r="G85" t="s">
        <v>943</v>
      </c>
      <c r="H85" s="6"/>
      <c r="I85" s="6"/>
      <c r="J85" t="s">
        <v>944</v>
      </c>
    </row>
    <row r="86" spans="1:10">
      <c r="A86" s="7">
        <v>46203</v>
      </c>
      <c r="B86" t="s">
        <v>1005</v>
      </c>
      <c r="D86" t="s">
        <v>1024</v>
      </c>
      <c r="E86" t="s">
        <v>942</v>
      </c>
      <c r="F86" s="4">
        <v>30</v>
      </c>
      <c r="G86" t="s">
        <v>943</v>
      </c>
      <c r="H86" s="6"/>
      <c r="I86" s="6"/>
      <c r="J86" t="s">
        <v>944</v>
      </c>
    </row>
    <row r="87" spans="1:10">
      <c r="A87" s="7">
        <v>46203</v>
      </c>
      <c r="B87" t="s">
        <v>1005</v>
      </c>
      <c r="D87" t="s">
        <v>1025</v>
      </c>
      <c r="E87" t="s">
        <v>942</v>
      </c>
      <c r="F87" s="4">
        <v>70</v>
      </c>
      <c r="G87" t="s">
        <v>943</v>
      </c>
      <c r="H87" s="6"/>
      <c r="I87" s="6"/>
      <c r="J87" t="s">
        <v>944</v>
      </c>
    </row>
    <row r="88" spans="1:10">
      <c r="A88" s="7">
        <v>46203</v>
      </c>
      <c r="B88" t="s">
        <v>1005</v>
      </c>
      <c r="D88" t="s">
        <v>1026</v>
      </c>
      <c r="E88" t="s">
        <v>942</v>
      </c>
      <c r="F88" s="4">
        <v>575</v>
      </c>
      <c r="G88" t="s">
        <v>943</v>
      </c>
      <c r="H88" s="6"/>
      <c r="I88" s="6"/>
      <c r="J88" t="s">
        <v>944</v>
      </c>
    </row>
    <row r="89" spans="1:10">
      <c r="A89" s="7">
        <v>46204</v>
      </c>
      <c r="B89" t="s">
        <v>1027</v>
      </c>
      <c r="C89" t="s">
        <v>1006</v>
      </c>
      <c r="D89" t="s">
        <v>951</v>
      </c>
      <c r="E89" t="s">
        <v>10</v>
      </c>
      <c r="F89" s="4">
        <v>25</v>
      </c>
      <c r="G89" t="s">
        <v>907</v>
      </c>
      <c r="H89" s="6" t="s">
        <v>404</v>
      </c>
      <c r="I89" s="6" t="s">
        <v>405</v>
      </c>
    </row>
    <row r="90" spans="1:10">
      <c r="A90" s="7">
        <v>46205</v>
      </c>
      <c r="B90" t="s">
        <v>1027</v>
      </c>
      <c r="C90" t="s">
        <v>1014</v>
      </c>
      <c r="D90" t="s">
        <v>1028</v>
      </c>
      <c r="E90" t="s">
        <v>10</v>
      </c>
      <c r="F90" s="4">
        <v>120</v>
      </c>
      <c r="G90" t="s">
        <v>907</v>
      </c>
      <c r="H90" s="6" t="s">
        <v>1029</v>
      </c>
      <c r="I90" s="6" t="s">
        <v>549</v>
      </c>
    </row>
    <row r="91" spans="1:10">
      <c r="A91" s="7">
        <v>46206</v>
      </c>
      <c r="B91" t="s">
        <v>1027</v>
      </c>
      <c r="C91" t="s">
        <v>958</v>
      </c>
      <c r="D91" t="s">
        <v>446</v>
      </c>
      <c r="E91" t="s">
        <v>10</v>
      </c>
      <c r="F91" s="4">
        <v>25</v>
      </c>
      <c r="G91" t="s">
        <v>907</v>
      </c>
      <c r="H91" s="6" t="s">
        <v>1008</v>
      </c>
      <c r="I91" s="6" t="s">
        <v>446</v>
      </c>
    </row>
    <row r="92" spans="1:10">
      <c r="A92" s="7">
        <v>46206</v>
      </c>
      <c r="B92" t="s">
        <v>1027</v>
      </c>
      <c r="C92" t="s">
        <v>964</v>
      </c>
      <c r="D92" t="s">
        <v>1018</v>
      </c>
      <c r="E92" t="s">
        <v>10</v>
      </c>
      <c r="F92" s="4">
        <v>35</v>
      </c>
      <c r="G92" t="s">
        <v>907</v>
      </c>
      <c r="H92" s="6" t="s">
        <v>960</v>
      </c>
      <c r="I92" s="6" t="s">
        <v>567</v>
      </c>
    </row>
    <row r="93" spans="1:10">
      <c r="A93" s="7">
        <v>46206</v>
      </c>
      <c r="B93" t="s">
        <v>1027</v>
      </c>
      <c r="C93" t="s">
        <v>1030</v>
      </c>
      <c r="D93" t="s">
        <v>1018</v>
      </c>
      <c r="E93" t="s">
        <v>10</v>
      </c>
      <c r="F93" s="4">
        <v>35</v>
      </c>
      <c r="G93" t="s">
        <v>907</v>
      </c>
      <c r="H93" s="6" t="s">
        <v>960</v>
      </c>
      <c r="I93" s="6" t="s">
        <v>567</v>
      </c>
    </row>
    <row r="94" spans="1:10">
      <c r="A94" s="7">
        <v>46206</v>
      </c>
      <c r="B94" t="s">
        <v>1027</v>
      </c>
      <c r="C94" t="s">
        <v>1031</v>
      </c>
      <c r="D94" t="s">
        <v>441</v>
      </c>
      <c r="E94" t="s">
        <v>10</v>
      </c>
      <c r="F94" s="4">
        <v>10</v>
      </c>
      <c r="G94" t="s">
        <v>907</v>
      </c>
      <c r="H94" s="6" t="s">
        <v>999</v>
      </c>
      <c r="I94" s="6" t="s">
        <v>441</v>
      </c>
    </row>
    <row r="95" spans="1:10">
      <c r="A95" s="7">
        <v>46206</v>
      </c>
      <c r="B95" t="s">
        <v>1027</v>
      </c>
      <c r="C95" t="s">
        <v>914</v>
      </c>
      <c r="D95" t="s">
        <v>577</v>
      </c>
      <c r="E95" t="s">
        <v>10</v>
      </c>
      <c r="F95" s="4">
        <v>50</v>
      </c>
      <c r="G95" t="s">
        <v>907</v>
      </c>
      <c r="H95" s="6" t="s">
        <v>954</v>
      </c>
      <c r="I95" s="6" t="s">
        <v>577</v>
      </c>
    </row>
    <row r="96" spans="1:10">
      <c r="A96" s="7">
        <v>46218</v>
      </c>
      <c r="B96" t="s">
        <v>1027</v>
      </c>
      <c r="C96" t="s">
        <v>993</v>
      </c>
      <c r="D96" t="s">
        <v>432</v>
      </c>
      <c r="E96" t="s">
        <v>10</v>
      </c>
      <c r="F96" s="4">
        <v>50</v>
      </c>
      <c r="G96" t="s">
        <v>907</v>
      </c>
      <c r="H96" s="6" t="s">
        <v>1032</v>
      </c>
      <c r="I96" s="6" t="s">
        <v>432</v>
      </c>
    </row>
    <row r="97" spans="1:10">
      <c r="A97" s="7">
        <v>46234</v>
      </c>
      <c r="B97" t="s">
        <v>1027</v>
      </c>
      <c r="D97" t="s">
        <v>1033</v>
      </c>
      <c r="E97" t="s">
        <v>942</v>
      </c>
      <c r="F97" s="4">
        <v>102.47</v>
      </c>
      <c r="G97" t="s">
        <v>943</v>
      </c>
      <c r="H97" s="6"/>
      <c r="I97" s="6"/>
      <c r="J97" t="s">
        <v>944</v>
      </c>
    </row>
    <row r="98" spans="1:10">
      <c r="A98" s="7">
        <v>46234</v>
      </c>
      <c r="B98" t="s">
        <v>1027</v>
      </c>
      <c r="D98" t="s">
        <v>1034</v>
      </c>
      <c r="E98" t="s">
        <v>942</v>
      </c>
      <c r="F98" s="4">
        <v>102.47</v>
      </c>
      <c r="G98" t="s">
        <v>943</v>
      </c>
      <c r="H98" s="6"/>
      <c r="I98" s="6"/>
      <c r="J98" t="s">
        <v>944</v>
      </c>
    </row>
    <row r="99" spans="1:10">
      <c r="A99" s="7">
        <v>46234</v>
      </c>
      <c r="B99" t="s">
        <v>1027</v>
      </c>
      <c r="D99" t="s">
        <v>1026</v>
      </c>
      <c r="E99" t="s">
        <v>942</v>
      </c>
      <c r="F99" s="4">
        <v>575</v>
      </c>
      <c r="G99" t="s">
        <v>943</v>
      </c>
      <c r="H99" s="6"/>
      <c r="I99" s="6"/>
      <c r="J99" t="s">
        <v>944</v>
      </c>
    </row>
    <row r="100" spans="1:10">
      <c r="A100" s="7">
        <v>46234</v>
      </c>
      <c r="B100" t="s">
        <v>1027</v>
      </c>
      <c r="D100" t="s">
        <v>1035</v>
      </c>
      <c r="E100" t="s">
        <v>942</v>
      </c>
      <c r="F100" s="4">
        <v>30</v>
      </c>
      <c r="G100" t="s">
        <v>943</v>
      </c>
      <c r="H100" s="6"/>
      <c r="I100" s="6"/>
      <c r="J100" t="s">
        <v>944</v>
      </c>
    </row>
    <row r="101" spans="1:10">
      <c r="A101" s="7">
        <v>46234</v>
      </c>
      <c r="B101" t="s">
        <v>1027</v>
      </c>
      <c r="D101" t="s">
        <v>1036</v>
      </c>
      <c r="E101" t="s">
        <v>942</v>
      </c>
      <c r="F101" s="4">
        <v>550</v>
      </c>
      <c r="G101" t="s">
        <v>943</v>
      </c>
      <c r="H101" s="6"/>
      <c r="I101" s="6"/>
      <c r="J101" t="s">
        <v>944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>
      <selection sqref="A1:L1"/>
    </sheetView>
  </sheetViews>
  <sheetFormatPr baseColWidth="10" defaultColWidth="8.6640625" defaultRowHeight="14"/>
  <cols>
    <col min="1" max="1" width="12" customWidth="1"/>
    <col min="2" max="2" width="26" customWidth="1"/>
    <col min="3" max="3" width="42" customWidth="1"/>
    <col min="4" max="4" width="22" customWidth="1"/>
    <col min="5" max="5" width="18" customWidth="1"/>
    <col min="6" max="6" width="15" customWidth="1"/>
    <col min="7" max="7" width="18" customWidth="1"/>
    <col min="8" max="8" width="28" customWidth="1"/>
    <col min="9" max="9" width="15" customWidth="1"/>
    <col min="10" max="10" width="14" customWidth="1"/>
    <col min="11" max="11" width="20" customWidth="1"/>
    <col min="12" max="12" width="42" customWidth="1"/>
  </cols>
  <sheetData>
    <row r="1" spans="1:12" ht="20" customHeight="1">
      <c r="A1" s="54" t="s">
        <v>1037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20" customHeight="1">
      <c r="A2" s="55" t="s">
        <v>1038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4" spans="1:12" ht="21.4" customHeight="1">
      <c r="A4" s="2" t="s">
        <v>1039</v>
      </c>
      <c r="B4" s="2" t="s">
        <v>898</v>
      </c>
      <c r="C4" s="2" t="s">
        <v>1040</v>
      </c>
      <c r="D4" s="2" t="s">
        <v>378</v>
      </c>
      <c r="E4" s="2" t="s">
        <v>1041</v>
      </c>
      <c r="F4" s="2" t="s">
        <v>1042</v>
      </c>
      <c r="G4" s="2" t="s">
        <v>1043</v>
      </c>
      <c r="H4" s="2" t="s">
        <v>86</v>
      </c>
      <c r="I4" s="2" t="s">
        <v>1044</v>
      </c>
      <c r="J4" s="2" t="s">
        <v>1045</v>
      </c>
      <c r="K4" s="2" t="s">
        <v>1046</v>
      </c>
      <c r="L4" s="2" t="s">
        <v>1047</v>
      </c>
    </row>
    <row r="5" spans="1:12">
      <c r="A5" t="s">
        <v>1048</v>
      </c>
      <c r="B5" t="s">
        <v>1019</v>
      </c>
      <c r="C5" t="s">
        <v>1049</v>
      </c>
      <c r="D5" t="s">
        <v>908</v>
      </c>
      <c r="E5" s="5">
        <v>350</v>
      </c>
      <c r="F5" s="5">
        <v>0</v>
      </c>
      <c r="G5" s="5">
        <v>350</v>
      </c>
      <c r="H5" s="9" t="s">
        <v>1050</v>
      </c>
      <c r="I5" s="9" t="s">
        <v>1027</v>
      </c>
      <c r="J5" s="10">
        <v>0.9</v>
      </c>
      <c r="K5" s="4">
        <f t="shared" ref="K5:K13" si="0">G5*J5</f>
        <v>315</v>
      </c>
      <c r="L5" t="s">
        <v>1051</v>
      </c>
    </row>
    <row r="6" spans="1:12">
      <c r="A6" t="s">
        <v>1052</v>
      </c>
      <c r="B6" t="s">
        <v>1053</v>
      </c>
      <c r="C6" t="s">
        <v>982</v>
      </c>
      <c r="D6" t="s">
        <v>908</v>
      </c>
      <c r="E6" s="5">
        <v>350</v>
      </c>
      <c r="F6" s="5">
        <v>0</v>
      </c>
      <c r="G6" s="5">
        <v>350</v>
      </c>
      <c r="H6" s="9" t="s">
        <v>1050</v>
      </c>
      <c r="I6" s="9" t="s">
        <v>1027</v>
      </c>
      <c r="J6" s="10">
        <v>0.9</v>
      </c>
      <c r="K6" s="4">
        <f t="shared" si="0"/>
        <v>315</v>
      </c>
      <c r="L6" t="s">
        <v>1054</v>
      </c>
    </row>
    <row r="7" spans="1:12">
      <c r="A7" t="s">
        <v>1055</v>
      </c>
      <c r="B7" t="s">
        <v>1056</v>
      </c>
      <c r="C7" t="s">
        <v>982</v>
      </c>
      <c r="D7" t="s">
        <v>908</v>
      </c>
      <c r="E7" s="5">
        <v>250</v>
      </c>
      <c r="F7" s="5">
        <v>0</v>
      </c>
      <c r="G7" s="5">
        <v>250</v>
      </c>
      <c r="H7" s="9" t="s">
        <v>1050</v>
      </c>
      <c r="I7" s="9" t="s">
        <v>1027</v>
      </c>
      <c r="J7" s="10">
        <v>0.85</v>
      </c>
      <c r="K7" s="4">
        <f t="shared" si="0"/>
        <v>212.5</v>
      </c>
      <c r="L7" t="s">
        <v>1057</v>
      </c>
    </row>
    <row r="8" spans="1:12">
      <c r="A8" t="s">
        <v>1058</v>
      </c>
      <c r="B8" t="s">
        <v>1059</v>
      </c>
      <c r="C8" t="s">
        <v>1060</v>
      </c>
      <c r="D8" t="s">
        <v>908</v>
      </c>
      <c r="E8" s="5">
        <v>0</v>
      </c>
      <c r="F8" s="5">
        <v>0</v>
      </c>
      <c r="G8" s="5">
        <v>0</v>
      </c>
      <c r="H8" s="9" t="s">
        <v>1061</v>
      </c>
      <c r="I8" s="9" t="s">
        <v>1062</v>
      </c>
      <c r="J8" s="10">
        <v>0.5</v>
      </c>
      <c r="K8" s="4">
        <f t="shared" si="0"/>
        <v>0</v>
      </c>
      <c r="L8" t="s">
        <v>1063</v>
      </c>
    </row>
    <row r="9" spans="1:12">
      <c r="A9" t="s">
        <v>1064</v>
      </c>
      <c r="B9" t="s">
        <v>1065</v>
      </c>
      <c r="C9" t="s">
        <v>1066</v>
      </c>
      <c r="D9" t="s">
        <v>981</v>
      </c>
      <c r="E9" s="5">
        <v>150</v>
      </c>
      <c r="F9" s="5">
        <v>0</v>
      </c>
      <c r="G9" s="5">
        <v>150</v>
      </c>
      <c r="H9" s="9" t="s">
        <v>1050</v>
      </c>
      <c r="I9" s="9" t="s">
        <v>1027</v>
      </c>
      <c r="J9" s="10">
        <v>0.85</v>
      </c>
      <c r="K9" s="4">
        <f t="shared" si="0"/>
        <v>127.5</v>
      </c>
      <c r="L9" t="s">
        <v>1067</v>
      </c>
    </row>
    <row r="10" spans="1:12">
      <c r="A10" t="s">
        <v>1068</v>
      </c>
      <c r="B10" t="s">
        <v>952</v>
      </c>
      <c r="C10" t="s">
        <v>1069</v>
      </c>
      <c r="D10" t="s">
        <v>452</v>
      </c>
      <c r="E10" s="5">
        <v>350</v>
      </c>
      <c r="F10" s="5">
        <v>175</v>
      </c>
      <c r="G10" s="5">
        <v>175</v>
      </c>
      <c r="H10" s="9" t="s">
        <v>1050</v>
      </c>
      <c r="I10" s="9" t="s">
        <v>1027</v>
      </c>
      <c r="J10" s="10">
        <v>0.95</v>
      </c>
      <c r="K10" s="4">
        <f t="shared" si="0"/>
        <v>166.25</v>
      </c>
      <c r="L10" t="s">
        <v>1070</v>
      </c>
    </row>
    <row r="11" spans="1:12">
      <c r="A11" t="s">
        <v>1071</v>
      </c>
      <c r="B11" t="s">
        <v>952</v>
      </c>
      <c r="C11" t="s">
        <v>935</v>
      </c>
      <c r="D11" t="s">
        <v>420</v>
      </c>
      <c r="E11" s="5">
        <v>1500</v>
      </c>
      <c r="F11" s="5">
        <v>200</v>
      </c>
      <c r="G11" s="5">
        <v>1300</v>
      </c>
      <c r="H11" s="9" t="s">
        <v>1050</v>
      </c>
      <c r="I11" s="9" t="s">
        <v>1062</v>
      </c>
      <c r="J11" s="10">
        <v>0.9</v>
      </c>
      <c r="K11" s="4">
        <f t="shared" si="0"/>
        <v>1170</v>
      </c>
      <c r="L11" t="s">
        <v>1072</v>
      </c>
    </row>
    <row r="12" spans="1:12">
      <c r="A12" t="s">
        <v>1073</v>
      </c>
      <c r="B12" t="s">
        <v>977</v>
      </c>
      <c r="C12" t="s">
        <v>1074</v>
      </c>
      <c r="D12" t="s">
        <v>420</v>
      </c>
      <c r="E12" s="5">
        <v>750</v>
      </c>
      <c r="F12" s="5">
        <v>0</v>
      </c>
      <c r="G12" s="5">
        <v>750</v>
      </c>
      <c r="H12" s="9" t="s">
        <v>1050</v>
      </c>
      <c r="I12" s="9" t="s">
        <v>1027</v>
      </c>
      <c r="J12" s="10">
        <v>0.95</v>
      </c>
      <c r="K12" s="4">
        <f t="shared" si="0"/>
        <v>712.5</v>
      </c>
      <c r="L12" t="s">
        <v>1075</v>
      </c>
    </row>
    <row r="13" spans="1:12">
      <c r="A13" t="s">
        <v>1076</v>
      </c>
      <c r="B13" t="s">
        <v>977</v>
      </c>
      <c r="C13" t="s">
        <v>1077</v>
      </c>
      <c r="E13" s="5">
        <v>0</v>
      </c>
      <c r="F13" s="5">
        <v>0</v>
      </c>
      <c r="G13" s="5">
        <v>0</v>
      </c>
      <c r="H13" s="9" t="s">
        <v>1078</v>
      </c>
      <c r="I13" s="9" t="s">
        <v>1062</v>
      </c>
      <c r="J13" s="10">
        <v>0.6</v>
      </c>
      <c r="K13" s="4">
        <f t="shared" si="0"/>
        <v>0</v>
      </c>
      <c r="L13" t="s">
        <v>1079</v>
      </c>
    </row>
  </sheetData>
  <mergeCells count="2">
    <mergeCell ref="A1:L1"/>
    <mergeCell ref="A2:L2"/>
  </mergeCells>
  <dataValidations count="1">
    <dataValidation type="list" sqref="H5:H13" xr:uid="{00000000-0002-0000-0500-000000000000}">
      <formula1>"Pendiente de cotización,Pendiente de cuantificar,En ejecución,Finalizado pendiente de facturar,Facturado pendiente de cobro,Cobrado,Suspendido"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sqref="A1:H1"/>
    </sheetView>
  </sheetViews>
  <sheetFormatPr baseColWidth="10" defaultColWidth="8.6640625" defaultRowHeight="14"/>
  <cols>
    <col min="1" max="1" width="14" customWidth="1"/>
    <col min="2" max="2" width="26" customWidth="1"/>
    <col min="3" max="3" width="34" customWidth="1"/>
    <col min="4" max="4" width="20" customWidth="1"/>
    <col min="5" max="6" width="12" customWidth="1"/>
    <col min="7" max="7" width="14" customWidth="1"/>
    <col min="8" max="8" width="20" customWidth="1"/>
  </cols>
  <sheetData>
    <row r="1" spans="1:8" ht="20" customHeight="1">
      <c r="A1" s="54" t="s">
        <v>1080</v>
      </c>
      <c r="B1" s="54"/>
      <c r="C1" s="54"/>
      <c r="D1" s="54"/>
      <c r="E1" s="54"/>
      <c r="F1" s="54"/>
      <c r="G1" s="54"/>
      <c r="H1" s="54"/>
    </row>
    <row r="2" spans="1:8" ht="20" customHeight="1">
      <c r="A2" s="55" t="s">
        <v>1081</v>
      </c>
      <c r="B2" s="55"/>
      <c r="C2" s="55"/>
      <c r="D2" s="55"/>
      <c r="E2" s="55"/>
      <c r="F2" s="55"/>
      <c r="G2" s="55"/>
      <c r="H2" s="55"/>
    </row>
    <row r="4" spans="1:8" ht="21.4" customHeight="1">
      <c r="A4" s="2" t="s">
        <v>4</v>
      </c>
      <c r="B4" s="2" t="s">
        <v>1082</v>
      </c>
      <c r="C4" s="2" t="s">
        <v>1083</v>
      </c>
      <c r="D4" s="2" t="s">
        <v>1084</v>
      </c>
      <c r="E4" s="2" t="s">
        <v>1085</v>
      </c>
      <c r="F4" s="2" t="s">
        <v>1086</v>
      </c>
      <c r="G4" s="2" t="s">
        <v>1087</v>
      </c>
      <c r="H4" s="2" t="s">
        <v>1088</v>
      </c>
    </row>
    <row r="5" spans="1:8">
      <c r="A5" t="s">
        <v>1089</v>
      </c>
      <c r="B5" t="s">
        <v>1090</v>
      </c>
      <c r="C5" t="s">
        <v>1091</v>
      </c>
      <c r="D5" s="5">
        <v>550</v>
      </c>
      <c r="E5" s="9">
        <v>7</v>
      </c>
      <c r="F5" s="9">
        <v>12</v>
      </c>
      <c r="G5" s="9">
        <v>6</v>
      </c>
      <c r="H5" s="4">
        <f>D5*G5</f>
        <v>3300</v>
      </c>
    </row>
    <row r="6" spans="1:8">
      <c r="A6" t="s">
        <v>1092</v>
      </c>
      <c r="B6" t="s">
        <v>1093</v>
      </c>
      <c r="C6" t="s">
        <v>1094</v>
      </c>
      <c r="D6" s="5">
        <v>550</v>
      </c>
      <c r="E6" s="9">
        <v>7</v>
      </c>
      <c r="F6" s="9">
        <v>12</v>
      </c>
      <c r="G6" s="9">
        <v>6</v>
      </c>
      <c r="H6" s="4">
        <f>D6*G6</f>
        <v>3300</v>
      </c>
    </row>
    <row r="7" spans="1:8">
      <c r="A7" t="s">
        <v>1095</v>
      </c>
      <c r="B7" t="s">
        <v>1096</v>
      </c>
      <c r="C7" t="s">
        <v>1097</v>
      </c>
      <c r="D7" s="5">
        <v>250</v>
      </c>
      <c r="E7" s="9">
        <v>7</v>
      </c>
      <c r="F7" s="9">
        <v>12</v>
      </c>
      <c r="G7" s="9">
        <v>6</v>
      </c>
      <c r="H7" s="4">
        <f>D7*G7</f>
        <v>1500</v>
      </c>
    </row>
    <row r="9" spans="1:8">
      <c r="A9" s="1" t="s">
        <v>1098</v>
      </c>
      <c r="B9" s="1" t="s">
        <v>1099</v>
      </c>
      <c r="C9" s="1" t="s">
        <v>1100</v>
      </c>
    </row>
    <row r="10" spans="1:8">
      <c r="A10" t="s">
        <v>1101</v>
      </c>
      <c r="B10" s="4">
        <f>SUM(D5:D7)</f>
        <v>1350</v>
      </c>
      <c r="C10" s="4">
        <f>SUM(H5:H7)</f>
        <v>8100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>
      <selection sqref="A1:H1"/>
    </sheetView>
  </sheetViews>
  <sheetFormatPr baseColWidth="10" defaultColWidth="8.6640625" defaultRowHeight="14"/>
  <cols>
    <col min="1" max="1" width="18" customWidth="1"/>
    <col min="2" max="2" width="38" customWidth="1"/>
    <col min="3" max="3" width="16" customWidth="1"/>
    <col min="4" max="4" width="20" customWidth="1"/>
    <col min="5" max="7" width="12" customWidth="1"/>
    <col min="8" max="8" width="20" customWidth="1"/>
  </cols>
  <sheetData>
    <row r="1" spans="1:8" ht="20" customHeight="1">
      <c r="A1" s="54" t="s">
        <v>1102</v>
      </c>
      <c r="B1" s="54"/>
      <c r="C1" s="54"/>
      <c r="D1" s="54"/>
      <c r="E1" s="54"/>
      <c r="F1" s="54"/>
      <c r="G1" s="54"/>
      <c r="H1" s="54"/>
    </row>
    <row r="2" spans="1:8" ht="20" customHeight="1">
      <c r="A2" s="55" t="s">
        <v>1103</v>
      </c>
      <c r="B2" s="55"/>
      <c r="C2" s="55"/>
      <c r="D2" s="55"/>
      <c r="E2" s="55"/>
      <c r="F2" s="55"/>
      <c r="G2" s="55"/>
      <c r="H2" s="55"/>
    </row>
    <row r="4" spans="1:8" ht="21.4" customHeight="1">
      <c r="A4" s="2" t="s">
        <v>4</v>
      </c>
      <c r="B4" s="2" t="s">
        <v>1104</v>
      </c>
      <c r="C4" s="2" t="s">
        <v>900</v>
      </c>
      <c r="D4" s="2" t="s">
        <v>1084</v>
      </c>
      <c r="E4" s="2" t="s">
        <v>1085</v>
      </c>
      <c r="F4" s="2" t="s">
        <v>1086</v>
      </c>
      <c r="G4" s="2" t="s">
        <v>1105</v>
      </c>
      <c r="H4" s="2" t="s">
        <v>1088</v>
      </c>
    </row>
    <row r="5" spans="1:8">
      <c r="A5" t="s">
        <v>1106</v>
      </c>
      <c r="B5" t="s">
        <v>1107</v>
      </c>
      <c r="C5" t="s">
        <v>1108</v>
      </c>
      <c r="D5" s="5">
        <v>1350</v>
      </c>
      <c r="E5" s="9">
        <v>7</v>
      </c>
      <c r="F5" s="9">
        <v>12</v>
      </c>
      <c r="G5" s="9">
        <v>6</v>
      </c>
      <c r="H5" s="4">
        <f>D5*G5</f>
        <v>8100</v>
      </c>
    </row>
    <row r="6" spans="1:8">
      <c r="A6" t="s">
        <v>1109</v>
      </c>
      <c r="B6" t="s">
        <v>1026</v>
      </c>
      <c r="C6" t="s">
        <v>1108</v>
      </c>
      <c r="D6" s="5">
        <v>575</v>
      </c>
      <c r="E6" s="9">
        <v>7</v>
      </c>
      <c r="F6" s="9">
        <v>12</v>
      </c>
      <c r="G6" s="9">
        <v>6</v>
      </c>
      <c r="H6" s="4">
        <f>D6*G6</f>
        <v>3450</v>
      </c>
    </row>
    <row r="7" spans="1:8">
      <c r="A7" t="s">
        <v>1110</v>
      </c>
      <c r="B7" t="s">
        <v>1035</v>
      </c>
      <c r="C7" t="s">
        <v>1108</v>
      </c>
      <c r="D7" s="5">
        <v>30</v>
      </c>
      <c r="E7" s="9">
        <v>7</v>
      </c>
      <c r="F7" s="9">
        <v>12</v>
      </c>
      <c r="G7" s="9">
        <v>6</v>
      </c>
      <c r="H7" s="4">
        <f>D7*G7</f>
        <v>180</v>
      </c>
    </row>
    <row r="8" spans="1:8">
      <c r="A8" t="s">
        <v>1111</v>
      </c>
      <c r="B8" t="s">
        <v>1112</v>
      </c>
      <c r="C8" t="s">
        <v>1113</v>
      </c>
      <c r="D8" s="5">
        <v>150</v>
      </c>
      <c r="E8" s="9">
        <v>7</v>
      </c>
      <c r="F8" s="9">
        <v>12</v>
      </c>
      <c r="G8" s="9">
        <v>6</v>
      </c>
      <c r="H8" s="4">
        <f>D8*G8</f>
        <v>900</v>
      </c>
    </row>
    <row r="9" spans="1:8">
      <c r="A9" t="s">
        <v>1114</v>
      </c>
      <c r="B9" t="s">
        <v>1115</v>
      </c>
      <c r="C9" t="s">
        <v>1116</v>
      </c>
      <c r="D9" s="5">
        <v>150</v>
      </c>
      <c r="E9" s="9">
        <v>8</v>
      </c>
      <c r="F9" s="9">
        <v>12</v>
      </c>
      <c r="G9" s="9">
        <v>5</v>
      </c>
      <c r="H9" s="4">
        <f>D9*G9</f>
        <v>750</v>
      </c>
    </row>
    <row r="11" spans="1:8" ht="21.4" customHeight="1">
      <c r="A11" s="2" t="s">
        <v>1117</v>
      </c>
      <c r="B11" s="2" t="s">
        <v>1118</v>
      </c>
    </row>
    <row r="12" spans="1:8">
      <c r="A12" t="s">
        <v>1119</v>
      </c>
      <c r="B12" s="10">
        <v>0.1</v>
      </c>
    </row>
    <row r="13" spans="1:8">
      <c r="A13" t="s">
        <v>1120</v>
      </c>
      <c r="B13" s="10">
        <v>0.2</v>
      </c>
    </row>
    <row r="14" spans="1:8">
      <c r="A14" t="s">
        <v>1121</v>
      </c>
      <c r="B14" s="10">
        <v>0.15</v>
      </c>
    </row>
    <row r="16" spans="1:8" ht="22.65" customHeight="1">
      <c r="A16" s="35" t="s">
        <v>1122</v>
      </c>
      <c r="B16" s="35" t="s">
        <v>1123</v>
      </c>
      <c r="C16" s="35" t="s">
        <v>1124</v>
      </c>
      <c r="D16" s="35" t="s">
        <v>1125</v>
      </c>
      <c r="E16" s="35" t="s">
        <v>1126</v>
      </c>
      <c r="F16" s="35" t="s">
        <v>6</v>
      </c>
      <c r="G16" s="35" t="s">
        <v>1127</v>
      </c>
      <c r="H16" s="35" t="s">
        <v>1128</v>
      </c>
    </row>
    <row r="17" spans="1:8" ht="42">
      <c r="A17" s="3" t="s">
        <v>1129</v>
      </c>
      <c r="B17" s="3" t="s">
        <v>1130</v>
      </c>
      <c r="C17" s="3" t="s">
        <v>1131</v>
      </c>
      <c r="D17" s="37" t="s">
        <v>1132</v>
      </c>
      <c r="E17" s="3" t="s">
        <v>1133</v>
      </c>
      <c r="F17" s="3" t="s">
        <v>1134</v>
      </c>
      <c r="G17" s="3" t="s">
        <v>1135</v>
      </c>
      <c r="H17" s="3" t="s">
        <v>1136</v>
      </c>
    </row>
    <row r="18" spans="1:8">
      <c r="A18" s="3" t="s">
        <v>1137</v>
      </c>
      <c r="B18" s="3" t="s">
        <v>1138</v>
      </c>
      <c r="C18" s="3" t="s">
        <v>1099</v>
      </c>
      <c r="D18" s="3" t="s">
        <v>1139</v>
      </c>
      <c r="E18" s="3" t="s">
        <v>1099</v>
      </c>
      <c r="F18" s="3" t="s">
        <v>1108</v>
      </c>
      <c r="G18" s="3" t="s">
        <v>1140</v>
      </c>
      <c r="H18" s="3" t="s">
        <v>1141</v>
      </c>
    </row>
    <row r="19" spans="1:8" ht="28">
      <c r="A19" s="3" t="s">
        <v>2</v>
      </c>
      <c r="B19" s="3" t="s">
        <v>1142</v>
      </c>
      <c r="C19" s="3"/>
      <c r="D19" s="3"/>
      <c r="E19" s="3"/>
      <c r="F19" s="3"/>
      <c r="G19" s="3"/>
      <c r="H19" s="3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1"/>
  <sheetViews>
    <sheetView workbookViewId="0">
      <selection sqref="A1:H1"/>
    </sheetView>
  </sheetViews>
  <sheetFormatPr baseColWidth="10" defaultColWidth="8.6640625" defaultRowHeight="14"/>
  <cols>
    <col min="1" max="1" width="15" customWidth="1"/>
    <col min="2" max="2" width="35" customWidth="1"/>
    <col min="3" max="3" width="60" customWidth="1"/>
    <col min="4" max="4" width="14" customWidth="1"/>
    <col min="5" max="5" width="18" customWidth="1"/>
    <col min="6" max="7" width="17" customWidth="1"/>
    <col min="8" max="8" width="18" customWidth="1"/>
    <col min="9" max="9" width="10" customWidth="1"/>
    <col min="10" max="10" width="16" customWidth="1"/>
    <col min="11" max="11" width="10" customWidth="1"/>
    <col min="12" max="12" width="16" customWidth="1"/>
    <col min="13" max="13" width="10" customWidth="1"/>
    <col min="14" max="14" width="16" customWidth="1"/>
    <col min="15" max="15" width="10" customWidth="1"/>
    <col min="16" max="16" width="16" customWidth="1"/>
    <col min="17" max="17" width="10" customWidth="1"/>
    <col min="18" max="18" width="16" customWidth="1"/>
    <col min="19" max="19" width="10" customWidth="1"/>
    <col min="20" max="20" width="16" customWidth="1"/>
    <col min="21" max="21" width="13" customWidth="1"/>
    <col min="22" max="22" width="18" customWidth="1"/>
  </cols>
  <sheetData>
    <row r="1" spans="1:22" ht="20" customHeight="1">
      <c r="A1" s="59" t="s">
        <v>1143</v>
      </c>
      <c r="B1" s="59"/>
      <c r="C1" s="59"/>
      <c r="D1" s="59"/>
      <c r="E1" s="59"/>
      <c r="F1" s="59"/>
      <c r="G1" s="59"/>
      <c r="H1" s="59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21.4" customHeight="1">
      <c r="A2" s="60" t="s">
        <v>1144</v>
      </c>
      <c r="B2" s="60"/>
      <c r="C2" s="60"/>
      <c r="D2" s="60"/>
      <c r="E2" s="60"/>
      <c r="F2" s="60"/>
      <c r="G2" s="60"/>
      <c r="H2" s="60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4" spans="1:22" ht="25.4" customHeight="1">
      <c r="A4" s="14" t="s">
        <v>1145</v>
      </c>
      <c r="B4" s="14" t="s">
        <v>1146</v>
      </c>
      <c r="C4" s="14" t="s">
        <v>1147</v>
      </c>
      <c r="D4" s="14" t="s">
        <v>1148</v>
      </c>
      <c r="E4" s="14" t="s">
        <v>1149</v>
      </c>
      <c r="F4" s="14" t="s">
        <v>1150</v>
      </c>
      <c r="G4" s="14" t="s">
        <v>1151</v>
      </c>
      <c r="H4" s="14" t="s">
        <v>1152</v>
      </c>
      <c r="I4" s="14" t="s">
        <v>1153</v>
      </c>
      <c r="J4" s="14" t="s">
        <v>1154</v>
      </c>
      <c r="K4" s="14" t="s">
        <v>1155</v>
      </c>
      <c r="L4" s="14" t="s">
        <v>1156</v>
      </c>
      <c r="M4" s="14" t="s">
        <v>1157</v>
      </c>
      <c r="N4" s="14" t="s">
        <v>1158</v>
      </c>
      <c r="O4" s="14" t="s">
        <v>1159</v>
      </c>
      <c r="P4" s="14" t="s">
        <v>1160</v>
      </c>
      <c r="Q4" s="14" t="s">
        <v>1161</v>
      </c>
      <c r="R4" s="14" t="s">
        <v>1162</v>
      </c>
      <c r="S4" s="14" t="s">
        <v>1163</v>
      </c>
      <c r="T4" s="14" t="s">
        <v>1164</v>
      </c>
      <c r="U4" s="14" t="s">
        <v>1165</v>
      </c>
      <c r="V4" s="14" t="s">
        <v>1166</v>
      </c>
    </row>
    <row r="5" spans="1:22" ht="28">
      <c r="A5" s="3" t="s">
        <v>1167</v>
      </c>
      <c r="B5" s="16" t="s">
        <v>1168</v>
      </c>
      <c r="C5" s="16" t="s">
        <v>1169</v>
      </c>
      <c r="D5" s="17">
        <v>18</v>
      </c>
      <c r="E5" s="16">
        <v>430</v>
      </c>
      <c r="F5" s="16">
        <v>23.89</v>
      </c>
      <c r="G5" s="16">
        <v>35</v>
      </c>
      <c r="H5" s="18">
        <v>0.85</v>
      </c>
      <c r="I5" s="17">
        <v>4</v>
      </c>
      <c r="J5" s="16">
        <v>140</v>
      </c>
      <c r="K5" s="17">
        <v>10</v>
      </c>
      <c r="L5" s="19">
        <f t="shared" ref="L5:L10" si="0">K5*$G5</f>
        <v>350</v>
      </c>
      <c r="M5" s="17">
        <v>11</v>
      </c>
      <c r="N5" s="19">
        <f t="shared" ref="N5:N10" si="1">M5*$G5</f>
        <v>385</v>
      </c>
      <c r="O5" s="17">
        <v>12</v>
      </c>
      <c r="P5" s="19">
        <f t="shared" ref="P5:P10" si="2">O5*$G5</f>
        <v>420</v>
      </c>
      <c r="Q5" s="17">
        <v>13</v>
      </c>
      <c r="R5" s="19">
        <f t="shared" ref="R5:R10" si="3">Q5*$G5</f>
        <v>455</v>
      </c>
      <c r="S5" s="17">
        <v>14</v>
      </c>
      <c r="T5" s="19">
        <f t="shared" ref="T5:T10" si="4">S5*$G5</f>
        <v>490</v>
      </c>
      <c r="U5" s="20">
        <f t="shared" ref="U5:V10" si="5">SUM(I5,K5,M5,O5,Q5,S5)</f>
        <v>64</v>
      </c>
      <c r="V5" s="19">
        <f t="shared" si="5"/>
        <v>2240</v>
      </c>
    </row>
    <row r="6" spans="1:22" ht="28">
      <c r="A6" s="3" t="s">
        <v>1170</v>
      </c>
      <c r="B6" s="16" t="s">
        <v>1171</v>
      </c>
      <c r="C6" s="16" t="s">
        <v>1172</v>
      </c>
      <c r="D6" s="17">
        <v>20</v>
      </c>
      <c r="E6" s="16">
        <v>1480</v>
      </c>
      <c r="F6" s="16">
        <v>74</v>
      </c>
      <c r="G6" s="16">
        <v>85</v>
      </c>
      <c r="H6" s="18">
        <v>0.9</v>
      </c>
      <c r="I6" s="17">
        <v>4</v>
      </c>
      <c r="J6" s="16">
        <v>340</v>
      </c>
      <c r="K6" s="17">
        <v>8</v>
      </c>
      <c r="L6" s="19">
        <f t="shared" si="0"/>
        <v>680</v>
      </c>
      <c r="M6" s="17">
        <v>9</v>
      </c>
      <c r="N6" s="19">
        <f t="shared" si="1"/>
        <v>765</v>
      </c>
      <c r="O6" s="17">
        <v>9</v>
      </c>
      <c r="P6" s="19">
        <f t="shared" si="2"/>
        <v>765</v>
      </c>
      <c r="Q6" s="17">
        <v>10</v>
      </c>
      <c r="R6" s="19">
        <f t="shared" si="3"/>
        <v>850</v>
      </c>
      <c r="S6" s="17">
        <v>10</v>
      </c>
      <c r="T6" s="19">
        <f t="shared" si="4"/>
        <v>850</v>
      </c>
      <c r="U6" s="20">
        <f t="shared" si="5"/>
        <v>50</v>
      </c>
      <c r="V6" s="19">
        <f t="shared" si="5"/>
        <v>4250</v>
      </c>
    </row>
    <row r="7" spans="1:22" ht="28">
      <c r="A7" s="3" t="s">
        <v>1173</v>
      </c>
      <c r="B7" s="21" t="s">
        <v>1174</v>
      </c>
      <c r="C7" s="21" t="s">
        <v>1175</v>
      </c>
      <c r="D7" s="22">
        <v>9</v>
      </c>
      <c r="E7" s="21">
        <v>830</v>
      </c>
      <c r="F7" s="21">
        <v>92.22</v>
      </c>
      <c r="G7" s="16">
        <v>300</v>
      </c>
      <c r="H7" s="18">
        <v>0.88</v>
      </c>
      <c r="I7" s="17">
        <v>5</v>
      </c>
      <c r="J7" s="16">
        <v>1300</v>
      </c>
      <c r="K7" s="17">
        <v>3</v>
      </c>
      <c r="L7" s="19">
        <f t="shared" si="0"/>
        <v>900</v>
      </c>
      <c r="M7" s="17">
        <v>3</v>
      </c>
      <c r="N7" s="19">
        <f t="shared" si="1"/>
        <v>900</v>
      </c>
      <c r="O7" s="17">
        <v>3</v>
      </c>
      <c r="P7" s="19">
        <f t="shared" si="2"/>
        <v>900</v>
      </c>
      <c r="Q7" s="17">
        <v>3</v>
      </c>
      <c r="R7" s="19">
        <f t="shared" si="3"/>
        <v>900</v>
      </c>
      <c r="S7" s="17">
        <v>4</v>
      </c>
      <c r="T7" s="19">
        <f t="shared" si="4"/>
        <v>1200</v>
      </c>
      <c r="U7" s="20">
        <f t="shared" si="5"/>
        <v>21</v>
      </c>
      <c r="V7" s="19">
        <f t="shared" si="5"/>
        <v>6100</v>
      </c>
    </row>
    <row r="8" spans="1:22" ht="28">
      <c r="A8" s="3" t="s">
        <v>1176</v>
      </c>
      <c r="B8" s="21" t="s">
        <v>1177</v>
      </c>
      <c r="C8" s="21" t="s">
        <v>1178</v>
      </c>
      <c r="D8" s="22">
        <v>4</v>
      </c>
      <c r="E8" s="21">
        <v>250</v>
      </c>
      <c r="F8" s="21">
        <v>62.5</v>
      </c>
      <c r="G8" s="16">
        <v>750</v>
      </c>
      <c r="H8" s="18">
        <v>0.82</v>
      </c>
      <c r="I8" s="17">
        <v>1</v>
      </c>
      <c r="J8" s="16">
        <v>750</v>
      </c>
      <c r="K8" s="17">
        <v>2</v>
      </c>
      <c r="L8" s="19">
        <f t="shared" si="0"/>
        <v>1500</v>
      </c>
      <c r="M8" s="17">
        <v>1</v>
      </c>
      <c r="N8" s="19">
        <f t="shared" si="1"/>
        <v>750</v>
      </c>
      <c r="O8" s="17">
        <v>1</v>
      </c>
      <c r="P8" s="19">
        <f t="shared" si="2"/>
        <v>750</v>
      </c>
      <c r="Q8" s="17">
        <v>1</v>
      </c>
      <c r="R8" s="19">
        <f t="shared" si="3"/>
        <v>750</v>
      </c>
      <c r="S8" s="17">
        <v>1</v>
      </c>
      <c r="T8" s="19">
        <f t="shared" si="4"/>
        <v>750</v>
      </c>
      <c r="U8" s="20">
        <f t="shared" si="5"/>
        <v>7</v>
      </c>
      <c r="V8" s="19">
        <f t="shared" si="5"/>
        <v>5250</v>
      </c>
    </row>
    <row r="9" spans="1:22" ht="28">
      <c r="A9" s="3" t="s">
        <v>1179</v>
      </c>
      <c r="B9" s="21" t="s">
        <v>1180</v>
      </c>
      <c r="C9" s="21" t="s">
        <v>1181</v>
      </c>
      <c r="D9" s="22">
        <v>5</v>
      </c>
      <c r="E9" s="21">
        <v>650</v>
      </c>
      <c r="F9" s="21">
        <v>130</v>
      </c>
      <c r="G9" s="16">
        <v>350</v>
      </c>
      <c r="H9" s="18">
        <v>0.88</v>
      </c>
      <c r="I9" s="17">
        <v>1</v>
      </c>
      <c r="J9" s="16">
        <v>350</v>
      </c>
      <c r="K9" s="17">
        <v>1</v>
      </c>
      <c r="L9" s="19">
        <f t="shared" si="0"/>
        <v>350</v>
      </c>
      <c r="M9" s="17">
        <v>1</v>
      </c>
      <c r="N9" s="19">
        <f t="shared" si="1"/>
        <v>350</v>
      </c>
      <c r="O9" s="17">
        <v>1</v>
      </c>
      <c r="P9" s="19">
        <f t="shared" si="2"/>
        <v>350</v>
      </c>
      <c r="Q9" s="17">
        <v>1</v>
      </c>
      <c r="R9" s="19">
        <f t="shared" si="3"/>
        <v>350</v>
      </c>
      <c r="S9" s="17">
        <v>1</v>
      </c>
      <c r="T9" s="19">
        <f t="shared" si="4"/>
        <v>350</v>
      </c>
      <c r="U9" s="20">
        <f t="shared" si="5"/>
        <v>6</v>
      </c>
      <c r="V9" s="19">
        <f t="shared" si="5"/>
        <v>2100</v>
      </c>
    </row>
    <row r="10" spans="1:22" ht="28">
      <c r="A10" s="23" t="s">
        <v>1182</v>
      </c>
      <c r="B10" s="24" t="s">
        <v>1183</v>
      </c>
      <c r="C10" s="24" t="s">
        <v>1184</v>
      </c>
      <c r="D10" s="25">
        <v>2</v>
      </c>
      <c r="E10" s="24">
        <v>945</v>
      </c>
      <c r="F10" s="24">
        <v>472.5</v>
      </c>
      <c r="G10" s="26">
        <v>500</v>
      </c>
      <c r="H10" s="18">
        <v>0.82</v>
      </c>
      <c r="I10" s="17">
        <v>0</v>
      </c>
      <c r="J10" s="16">
        <v>0</v>
      </c>
      <c r="K10" s="17">
        <v>1</v>
      </c>
      <c r="L10" s="19">
        <f t="shared" si="0"/>
        <v>500</v>
      </c>
      <c r="M10" s="17">
        <v>1</v>
      </c>
      <c r="N10" s="19">
        <f t="shared" si="1"/>
        <v>500</v>
      </c>
      <c r="O10" s="17">
        <v>1</v>
      </c>
      <c r="P10" s="19">
        <f t="shared" si="2"/>
        <v>500</v>
      </c>
      <c r="Q10" s="17">
        <v>1</v>
      </c>
      <c r="R10" s="19">
        <f t="shared" si="3"/>
        <v>500</v>
      </c>
      <c r="S10" s="17">
        <v>1</v>
      </c>
      <c r="T10" s="19">
        <f t="shared" si="4"/>
        <v>500</v>
      </c>
      <c r="U10" s="20">
        <f t="shared" si="5"/>
        <v>5</v>
      </c>
      <c r="V10" s="19">
        <f t="shared" si="5"/>
        <v>2500</v>
      </c>
    </row>
    <row r="11" spans="1:22">
      <c r="A11" s="61" t="s">
        <v>1185</v>
      </c>
      <c r="B11" s="62"/>
      <c r="C11" s="62"/>
      <c r="D11" s="28">
        <f>SUM(D5:D10)</f>
        <v>58</v>
      </c>
      <c r="E11" s="29">
        <f>SUM(E5:E10)</f>
        <v>4585</v>
      </c>
      <c r="F11" s="29">
        <f>IFERROR(E11/D11,0)</f>
        <v>79.051724137931032</v>
      </c>
      <c r="G11" s="29">
        <f>IFERROR(V11/U11,0)</f>
        <v>146.66666666666666</v>
      </c>
      <c r="H11" s="27">
        <f>SUMPRODUCT(V5:V10,H5:H10)/V11</f>
        <v>0.86007130124777187</v>
      </c>
      <c r="I11" s="28">
        <f t="shared" ref="I11:V11" si="6">SUM(I5:I10)</f>
        <v>15</v>
      </c>
      <c r="J11" s="29">
        <f t="shared" si="6"/>
        <v>2880</v>
      </c>
      <c r="K11" s="28">
        <f t="shared" si="6"/>
        <v>25</v>
      </c>
      <c r="L11" s="29">
        <f t="shared" si="6"/>
        <v>4280</v>
      </c>
      <c r="M11" s="28">
        <f t="shared" si="6"/>
        <v>26</v>
      </c>
      <c r="N11" s="29">
        <f t="shared" si="6"/>
        <v>3650</v>
      </c>
      <c r="O11" s="28">
        <f t="shared" si="6"/>
        <v>27</v>
      </c>
      <c r="P11" s="29">
        <f t="shared" si="6"/>
        <v>3685</v>
      </c>
      <c r="Q11" s="28">
        <f t="shared" si="6"/>
        <v>29</v>
      </c>
      <c r="R11" s="29">
        <f t="shared" si="6"/>
        <v>3805</v>
      </c>
      <c r="S11" s="28">
        <f t="shared" si="6"/>
        <v>31</v>
      </c>
      <c r="T11" s="29">
        <f t="shared" si="6"/>
        <v>4140</v>
      </c>
      <c r="U11" s="30">
        <f t="shared" si="6"/>
        <v>153</v>
      </c>
      <c r="V11" s="31">
        <f t="shared" si="6"/>
        <v>22440</v>
      </c>
    </row>
    <row r="12" spans="1:2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8">
      <c r="A14" s="15" t="s">
        <v>1186</v>
      </c>
      <c r="B14" s="15" t="s">
        <v>1027</v>
      </c>
      <c r="C14" s="15" t="s">
        <v>1062</v>
      </c>
      <c r="D14" s="15" t="s">
        <v>1187</v>
      </c>
      <c r="E14" s="15" t="s">
        <v>1188</v>
      </c>
      <c r="F14" s="15" t="s">
        <v>1189</v>
      </c>
      <c r="G14" s="15" t="s">
        <v>1190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42">
      <c r="A15" s="3" t="s">
        <v>1191</v>
      </c>
      <c r="B15" s="19">
        <f>J$11</f>
        <v>2880</v>
      </c>
      <c r="C15" s="19">
        <f>L$11</f>
        <v>4280</v>
      </c>
      <c r="D15" s="19">
        <f>N$11</f>
        <v>3650</v>
      </c>
      <c r="E15" s="19">
        <f>P$11</f>
        <v>3685</v>
      </c>
      <c r="F15" s="19">
        <f>R$11</f>
        <v>3805</v>
      </c>
      <c r="G15" s="19">
        <f>T$11</f>
        <v>4140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8">
      <c r="A16" s="3" t="s">
        <v>1192</v>
      </c>
      <c r="B16" s="19">
        <f>SUMPRODUCT(J$5:J$10,1-$H$5:$H$10)</f>
        <v>388</v>
      </c>
      <c r="C16" s="19">
        <f>SUMPRODUCT(L$5:L$10,1-$H$5:$H$10)</f>
        <v>630.5</v>
      </c>
      <c r="D16" s="19">
        <f>SUMPRODUCT(N$5:N$10,1-$H$5:$H$10)</f>
        <v>509.25</v>
      </c>
      <c r="E16" s="19">
        <f>SUMPRODUCT(P$5:P$10,1-$H$5:$H$10)</f>
        <v>514.5</v>
      </c>
      <c r="F16" s="19">
        <f>SUMPRODUCT(R$5:R$10,1-$H$5:$H$10)</f>
        <v>528.25</v>
      </c>
      <c r="G16" s="19">
        <f>SUMPRODUCT(T$5:T$10,1-$H$5:$H$10)</f>
        <v>569.5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8">
      <c r="A17" s="3" t="s">
        <v>1193</v>
      </c>
      <c r="B17" s="19">
        <f t="shared" ref="B17:G17" si="7">B15-B16</f>
        <v>2492</v>
      </c>
      <c r="C17" s="19">
        <f t="shared" si="7"/>
        <v>3649.5</v>
      </c>
      <c r="D17" s="19">
        <f t="shared" si="7"/>
        <v>3140.75</v>
      </c>
      <c r="E17" s="19">
        <f t="shared" si="7"/>
        <v>3170.5</v>
      </c>
      <c r="F17" s="19">
        <f t="shared" si="7"/>
        <v>3276.75</v>
      </c>
      <c r="G17" s="19">
        <f t="shared" si="7"/>
        <v>3570.5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8">
      <c r="A18" s="3" t="s">
        <v>1194</v>
      </c>
      <c r="B18" s="19">
        <f>SUM('07_Gastos_Fijos'!$D$5:$D$9)</f>
        <v>2255</v>
      </c>
      <c r="C18" s="19">
        <f>SUM('07_Gastos_Fijos'!$D$5:$D$9)</f>
        <v>2255</v>
      </c>
      <c r="D18" s="19">
        <f>SUM('07_Gastos_Fijos'!$D$5:$D$9)</f>
        <v>2255</v>
      </c>
      <c r="E18" s="19">
        <f>SUM('07_Gastos_Fijos'!$D$5:$D$9)</f>
        <v>2255</v>
      </c>
      <c r="F18" s="19">
        <f>SUM('07_Gastos_Fijos'!$D$5:$D$9)</f>
        <v>2255</v>
      </c>
      <c r="G18" s="19">
        <f>SUM('07_Gastos_Fijos'!$D$5:$D$9)</f>
        <v>2255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8">
      <c r="A19" s="32" t="s">
        <v>1195</v>
      </c>
      <c r="B19" s="33">
        <f t="shared" ref="B19:G19" si="8">B17-B18</f>
        <v>237</v>
      </c>
      <c r="C19" s="33">
        <f t="shared" si="8"/>
        <v>1394.5</v>
      </c>
      <c r="D19" s="33">
        <f t="shared" si="8"/>
        <v>885.75</v>
      </c>
      <c r="E19" s="33">
        <f t="shared" si="8"/>
        <v>915.5</v>
      </c>
      <c r="F19" s="33">
        <f t="shared" si="8"/>
        <v>1021.75</v>
      </c>
      <c r="G19" s="33">
        <f t="shared" si="8"/>
        <v>1315.5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8">
      <c r="A20" s="32" t="s">
        <v>1196</v>
      </c>
      <c r="B20" s="34">
        <f t="shared" ref="B20:G20" si="9">IFERROR(B19/B15,0)</f>
        <v>8.2291666666666666E-2</v>
      </c>
      <c r="C20" s="34">
        <f t="shared" si="9"/>
        <v>0.32581775700934579</v>
      </c>
      <c r="D20" s="34">
        <f t="shared" si="9"/>
        <v>0.24267123287671233</v>
      </c>
      <c r="E20" s="34">
        <f t="shared" si="9"/>
        <v>0.24843962008141113</v>
      </c>
      <c r="F20" s="34">
        <f t="shared" si="9"/>
        <v>0.26852825229960581</v>
      </c>
      <c r="G20" s="34">
        <f t="shared" si="9"/>
        <v>0.31775362318840578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42">
      <c r="A21" s="3" t="s">
        <v>1197</v>
      </c>
      <c r="B21" s="19">
        <f>B15-'09_Punto_Equilibrio'!$B$7</f>
        <v>374.44444444444434</v>
      </c>
      <c r="C21" s="19">
        <f>C15-'09_Punto_Equilibrio'!$B$7</f>
        <v>1774.4444444444443</v>
      </c>
      <c r="D21" s="19">
        <f>D15-'09_Punto_Equilibrio'!$B$7</f>
        <v>1144.4444444444443</v>
      </c>
      <c r="E21" s="19">
        <f>E15-'09_Punto_Equilibrio'!$B$7</f>
        <v>1179.4444444444443</v>
      </c>
      <c r="F21" s="19">
        <f>F15-'09_Punto_Equilibrio'!$B$7</f>
        <v>1299.4444444444443</v>
      </c>
      <c r="G21" s="19">
        <f>G15-'09_Punto_Equilibrio'!$B$7</f>
        <v>1634.4444444444443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</sheetData>
  <mergeCells count="3">
    <mergeCell ref="A1:H1"/>
    <mergeCell ref="A2:H2"/>
    <mergeCell ref="A11:C11"/>
  </mergeCells>
  <conditionalFormatting sqref="A21:G21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workbookViewId="0">
      <selection sqref="A1:F1"/>
    </sheetView>
  </sheetViews>
  <sheetFormatPr baseColWidth="10" defaultColWidth="8.6640625" defaultRowHeight="14"/>
  <cols>
    <col min="1" max="1" width="34" customWidth="1"/>
    <col min="2" max="2" width="12" customWidth="1"/>
    <col min="3" max="3" width="18" customWidth="1"/>
    <col min="4" max="4" width="16" customWidth="1"/>
    <col min="5" max="5" width="18" customWidth="1"/>
    <col min="6" max="6" width="40" customWidth="1"/>
  </cols>
  <sheetData>
    <row r="1" spans="1:6" ht="20" customHeight="1">
      <c r="A1" s="54" t="s">
        <v>1198</v>
      </c>
      <c r="B1" s="54"/>
      <c r="C1" s="54"/>
      <c r="D1" s="54"/>
      <c r="E1" s="54"/>
      <c r="F1" s="54"/>
    </row>
    <row r="2" spans="1:6" ht="20" customHeight="1">
      <c r="A2" s="55" t="s">
        <v>1199</v>
      </c>
      <c r="B2" s="55"/>
      <c r="C2" s="55"/>
      <c r="D2" s="55"/>
      <c r="E2" s="55"/>
      <c r="F2" s="55"/>
    </row>
    <row r="4" spans="1:6" ht="21.4" customHeight="1">
      <c r="A4" s="2" t="s">
        <v>1098</v>
      </c>
      <c r="B4" s="2" t="s">
        <v>1200</v>
      </c>
    </row>
    <row r="5" spans="1:6">
      <c r="A5" t="s">
        <v>1194</v>
      </c>
      <c r="B5" s="4">
        <f>SUM('07_Gastos_Fijos'!D5:D9)</f>
        <v>2255</v>
      </c>
    </row>
    <row r="6" spans="1:6">
      <c r="A6" t="s">
        <v>1201</v>
      </c>
      <c r="B6" s="8">
        <f>'07_Gastos_Fijos'!B12</f>
        <v>0.1</v>
      </c>
    </row>
    <row r="7" spans="1:6">
      <c r="A7" t="s">
        <v>1202</v>
      </c>
      <c r="B7" s="4">
        <f>B5/(1-B6)</f>
        <v>2505.5555555555557</v>
      </c>
    </row>
    <row r="8" spans="1:6">
      <c r="A8" t="s">
        <v>1203</v>
      </c>
      <c r="B8" s="4">
        <f>B7*(1+'07_Gastos_Fijos'!B14)</f>
        <v>2881.3888888888887</v>
      </c>
    </row>
    <row r="9" spans="1:6">
      <c r="A9" t="s">
        <v>1204</v>
      </c>
      <c r="B9" s="4">
        <f>B5/(1-B6-'07_Gastos_Fijos'!B13)</f>
        <v>3221.4285714285716</v>
      </c>
    </row>
    <row r="10" spans="1:6">
      <c r="A10" t="s">
        <v>1205</v>
      </c>
      <c r="B10" s="11">
        <f>B9/'06_Personal'!B10</f>
        <v>2.3862433862433865</v>
      </c>
    </row>
    <row r="12" spans="1:6" ht="21.4" customHeight="1">
      <c r="A12" s="2" t="s">
        <v>1206</v>
      </c>
      <c r="B12" s="2" t="s">
        <v>1207</v>
      </c>
      <c r="C12" s="2" t="s">
        <v>1208</v>
      </c>
      <c r="D12" s="2" t="s">
        <v>1209</v>
      </c>
      <c r="E12" s="2" t="s">
        <v>1210</v>
      </c>
      <c r="F12" s="2" t="s">
        <v>1211</v>
      </c>
    </row>
    <row r="13" spans="1:6">
      <c r="A13" t="s">
        <v>1212</v>
      </c>
      <c r="B13" s="9">
        <v>10</v>
      </c>
      <c r="C13" s="5">
        <v>35</v>
      </c>
      <c r="D13" s="4">
        <f>B13*C13</f>
        <v>350</v>
      </c>
      <c r="E13" t="s">
        <v>1213</v>
      </c>
      <c r="F13" t="s">
        <v>1214</v>
      </c>
    </row>
    <row r="14" spans="1:6">
      <c r="A14" t="s">
        <v>1215</v>
      </c>
      <c r="B14" s="9">
        <v>8</v>
      </c>
      <c r="C14" s="5">
        <v>75</v>
      </c>
      <c r="D14" s="4">
        <f>B14*C14</f>
        <v>600</v>
      </c>
      <c r="E14" t="s">
        <v>1216</v>
      </c>
      <c r="F14" t="s">
        <v>1217</v>
      </c>
    </row>
    <row r="15" spans="1:6">
      <c r="A15" t="s">
        <v>1218</v>
      </c>
      <c r="B15" s="9">
        <v>3</v>
      </c>
      <c r="C15" s="5">
        <v>300</v>
      </c>
      <c r="D15" s="4">
        <f>B15*C15</f>
        <v>900</v>
      </c>
      <c r="E15" t="s">
        <v>1219</v>
      </c>
      <c r="F15" t="s">
        <v>1220</v>
      </c>
    </row>
    <row r="16" spans="1:6">
      <c r="A16" t="s">
        <v>1221</v>
      </c>
      <c r="B16" s="9">
        <v>1</v>
      </c>
      <c r="C16" s="5">
        <v>750</v>
      </c>
      <c r="D16" s="4">
        <f>B16*C16</f>
        <v>750</v>
      </c>
      <c r="E16" t="s">
        <v>1222</v>
      </c>
      <c r="F16" t="s">
        <v>1223</v>
      </c>
    </row>
    <row r="17" spans="1:4">
      <c r="A17" t="s">
        <v>1224</v>
      </c>
      <c r="C17" s="4"/>
      <c r="D17" s="4">
        <f>SUM(D13:D16)</f>
        <v>2600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3"/>
  <sheetViews>
    <sheetView workbookViewId="0">
      <selection sqref="A1:N1"/>
    </sheetView>
  </sheetViews>
  <sheetFormatPr baseColWidth="10" defaultColWidth="8.6640625" defaultRowHeight="14"/>
  <cols>
    <col min="1" max="1" width="28" customWidth="1"/>
    <col min="2" max="2" width="32" customWidth="1"/>
    <col min="3" max="3" width="42" customWidth="1"/>
    <col min="4" max="4" width="18" customWidth="1"/>
    <col min="5" max="5" width="25" customWidth="1"/>
    <col min="6" max="6" width="24" customWidth="1"/>
  </cols>
  <sheetData>
    <row r="1" spans="1:14" ht="20" customHeight="1">
      <c r="A1" s="54" t="s">
        <v>1225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0" customHeight="1">
      <c r="A2" s="55" t="s">
        <v>1226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4" spans="1:14">
      <c r="A4" s="63" t="s">
        <v>1227</v>
      </c>
      <c r="B4" s="63"/>
      <c r="C4" s="63"/>
      <c r="E4" s="63" t="s">
        <v>1228</v>
      </c>
      <c r="F4" s="63"/>
      <c r="G4" s="63"/>
      <c r="I4" s="63" t="s">
        <v>1229</v>
      </c>
      <c r="J4" s="63"/>
      <c r="K4" s="63"/>
      <c r="M4" s="63" t="s">
        <v>1230</v>
      </c>
      <c r="N4" s="63"/>
    </row>
    <row r="5" spans="1:14">
      <c r="A5" s="64">
        <f>SUMIFS('04_Registro_Operaciones'!$F$5:$F$300,'04_Registro_Operaciones'!$E$5:$E$300,"Ingreso")</f>
        <v>5515.5</v>
      </c>
      <c r="B5" s="64"/>
      <c r="C5" s="64"/>
      <c r="E5" s="64">
        <f>SUM('05_Cartera_Proyectos'!$G$5:$G$100)</f>
        <v>3325</v>
      </c>
      <c r="F5" s="64"/>
      <c r="G5" s="64"/>
      <c r="I5" s="64">
        <f>'09_Punto_Equilibrio'!B7</f>
        <v>2505.5555555555557</v>
      </c>
      <c r="J5" s="64"/>
      <c r="K5" s="64"/>
      <c r="M5" s="64">
        <f>'09_Punto_Equilibrio'!B8</f>
        <v>2881.3888888888887</v>
      </c>
      <c r="N5" s="64"/>
    </row>
    <row r="6" spans="1:14">
      <c r="A6" s="64"/>
      <c r="B6" s="64"/>
      <c r="C6" s="64"/>
      <c r="E6" s="64"/>
      <c r="F6" s="64"/>
      <c r="G6" s="64"/>
      <c r="I6" s="64"/>
      <c r="J6" s="64"/>
      <c r="K6" s="64"/>
      <c r="M6" s="64"/>
      <c r="N6" s="64"/>
    </row>
    <row r="9" spans="1:14" ht="21.4" customHeight="1">
      <c r="A9" s="14" t="s">
        <v>897</v>
      </c>
      <c r="B9" s="14" t="s">
        <v>1231</v>
      </c>
      <c r="C9" s="14" t="s">
        <v>1232</v>
      </c>
    </row>
    <row r="10" spans="1:14">
      <c r="A10" t="s">
        <v>1027</v>
      </c>
      <c r="B10" s="4">
        <f>'08_Presupuesto_Jul_Dic'!B15</f>
        <v>2880</v>
      </c>
      <c r="C10" s="4">
        <f>'08_Presupuesto_Jul_Dic'!B19</f>
        <v>237</v>
      </c>
    </row>
    <row r="11" spans="1:14">
      <c r="A11" t="s">
        <v>1062</v>
      </c>
      <c r="B11" s="4">
        <f>'08_Presupuesto_Jul_Dic'!C15</f>
        <v>4280</v>
      </c>
      <c r="C11" s="4">
        <f>'08_Presupuesto_Jul_Dic'!C19</f>
        <v>1394.5</v>
      </c>
    </row>
    <row r="12" spans="1:14">
      <c r="A12" t="s">
        <v>1187</v>
      </c>
      <c r="B12" s="4">
        <f>'08_Presupuesto_Jul_Dic'!D15</f>
        <v>3650</v>
      </c>
      <c r="C12" s="4">
        <f>'08_Presupuesto_Jul_Dic'!D19</f>
        <v>885.75</v>
      </c>
    </row>
    <row r="13" spans="1:14">
      <c r="A13" t="s">
        <v>1188</v>
      </c>
      <c r="B13" s="4">
        <f>'08_Presupuesto_Jul_Dic'!E15</f>
        <v>3685</v>
      </c>
      <c r="C13" s="4">
        <f>'08_Presupuesto_Jul_Dic'!E19</f>
        <v>915.5</v>
      </c>
    </row>
    <row r="14" spans="1:14">
      <c r="A14" t="s">
        <v>1189</v>
      </c>
      <c r="B14" s="4">
        <f>'08_Presupuesto_Jul_Dic'!F15</f>
        <v>3805</v>
      </c>
      <c r="C14" s="4">
        <f>'08_Presupuesto_Jul_Dic'!F19</f>
        <v>1021.75</v>
      </c>
    </row>
    <row r="15" spans="1:14">
      <c r="A15" t="s">
        <v>1190</v>
      </c>
      <c r="B15" s="4">
        <f>'08_Presupuesto_Jul_Dic'!G15</f>
        <v>4140</v>
      </c>
      <c r="C15" s="4">
        <f>'08_Presupuesto_Jul_Dic'!G19</f>
        <v>1315.5</v>
      </c>
    </row>
    <row r="27" spans="1:14">
      <c r="A27" s="65" t="s">
        <v>1233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 spans="1:14" ht="22.65" customHeight="1">
      <c r="A28" s="35" t="s">
        <v>1098</v>
      </c>
      <c r="B28" s="35" t="s">
        <v>1234</v>
      </c>
      <c r="C28" s="35" t="s">
        <v>1235</v>
      </c>
      <c r="D28" s="35" t="s">
        <v>1236</v>
      </c>
      <c r="E28" s="35" t="s">
        <v>1237</v>
      </c>
      <c r="F28" s="35" t="s">
        <v>1238</v>
      </c>
    </row>
    <row r="29" spans="1:14">
      <c r="A29" s="3" t="s">
        <v>1239</v>
      </c>
      <c r="B29" s="3" t="s">
        <v>1240</v>
      </c>
      <c r="C29" s="3" t="s">
        <v>1241</v>
      </c>
      <c r="D29" s="3" t="s">
        <v>1242</v>
      </c>
      <c r="E29" s="3" t="s">
        <v>1243</v>
      </c>
      <c r="F29" s="3" t="s">
        <v>1244</v>
      </c>
    </row>
    <row r="30" spans="1:14">
      <c r="A30" s="3" t="s">
        <v>1245</v>
      </c>
      <c r="B30" s="3" t="s">
        <v>1246</v>
      </c>
      <c r="C30" s="3" t="s">
        <v>1247</v>
      </c>
      <c r="D30" s="3" t="s">
        <v>1242</v>
      </c>
      <c r="E30" s="3" t="s">
        <v>1248</v>
      </c>
      <c r="F30" s="3" t="s">
        <v>1249</v>
      </c>
    </row>
    <row r="31" spans="1:14">
      <c r="A31" s="3" t="s">
        <v>1195</v>
      </c>
      <c r="B31" s="3" t="s">
        <v>1250</v>
      </c>
      <c r="C31" s="3" t="s">
        <v>1251</v>
      </c>
      <c r="D31" s="3" t="s">
        <v>1242</v>
      </c>
      <c r="E31" s="3" t="s">
        <v>897</v>
      </c>
      <c r="F31" s="3" t="s">
        <v>1252</v>
      </c>
    </row>
    <row r="32" spans="1:14">
      <c r="A32" s="3" t="s">
        <v>1129</v>
      </c>
      <c r="B32" s="3" t="s">
        <v>1253</v>
      </c>
      <c r="C32" s="3" t="s">
        <v>1254</v>
      </c>
      <c r="D32" s="3" t="s">
        <v>1255</v>
      </c>
      <c r="E32" s="3" t="s">
        <v>1256</v>
      </c>
      <c r="F32" s="3" t="s">
        <v>1257</v>
      </c>
    </row>
    <row r="33" spans="1:15">
      <c r="A33" s="3" t="s">
        <v>1258</v>
      </c>
      <c r="B33" s="3" t="s">
        <v>1259</v>
      </c>
      <c r="C33" s="3" t="s">
        <v>1260</v>
      </c>
      <c r="D33" s="3" t="s">
        <v>1242</v>
      </c>
      <c r="E33" s="3" t="s">
        <v>1261</v>
      </c>
      <c r="F33" s="3" t="s">
        <v>378</v>
      </c>
    </row>
    <row r="36" spans="1:15">
      <c r="A36" s="66" t="s">
        <v>1262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</row>
    <row r="37" spans="1:15" ht="24" customHeight="1">
      <c r="A37" s="40" t="s">
        <v>897</v>
      </c>
      <c r="B37" s="40" t="s">
        <v>1263</v>
      </c>
      <c r="C37" s="40" t="s">
        <v>1264</v>
      </c>
      <c r="D37" s="40" t="s">
        <v>315</v>
      </c>
      <c r="E37" s="40" t="s">
        <v>1265</v>
      </c>
      <c r="F37" s="40" t="s">
        <v>1266</v>
      </c>
      <c r="G37" s="40" t="s">
        <v>1267</v>
      </c>
    </row>
    <row r="38" spans="1:15">
      <c r="A38" t="str">
        <f>'17_Resumen_Mensual'!A5</f>
        <v>Julio</v>
      </c>
      <c r="B38" s="4">
        <f>'17_Resumen_Mensual'!B5</f>
        <v>3080</v>
      </c>
      <c r="C38" s="4">
        <f>'17_Resumen_Mensual'!C5</f>
        <v>350</v>
      </c>
      <c r="D38" s="8">
        <f>'17_Resumen_Mensual'!D5</f>
        <v>0.11363636363636363</v>
      </c>
      <c r="E38" s="4">
        <f>'17_Resumen_Mensual'!J5</f>
        <v>-1905</v>
      </c>
      <c r="F38" s="4">
        <f>'17_Resumen_Mensual'!K5</f>
        <v>616</v>
      </c>
      <c r="G38" t="str">
        <f>'17_Resumen_Mensual'!O5</f>
        <v>ROJO</v>
      </c>
    </row>
    <row r="39" spans="1:15">
      <c r="A39" t="str">
        <f>'17_Resumen_Mensual'!A6</f>
        <v>Agosto</v>
      </c>
      <c r="B39" s="4">
        <f>'17_Resumen_Mensual'!B6</f>
        <v>4280</v>
      </c>
      <c r="C39" s="4">
        <f>'17_Resumen_Mensual'!C6</f>
        <v>0</v>
      </c>
      <c r="D39" s="8">
        <f>'17_Resumen_Mensual'!D6</f>
        <v>0</v>
      </c>
      <c r="E39" s="4">
        <f>'17_Resumen_Mensual'!J6</f>
        <v>-2255</v>
      </c>
      <c r="F39" s="4">
        <f>'17_Resumen_Mensual'!K6</f>
        <v>856</v>
      </c>
      <c r="G39" t="str">
        <f>'17_Resumen_Mensual'!O6</f>
        <v>ROJO</v>
      </c>
    </row>
    <row r="40" spans="1:15">
      <c r="A40" t="str">
        <f>'17_Resumen_Mensual'!A7</f>
        <v>Septiembre</v>
      </c>
      <c r="B40" s="4">
        <f>'17_Resumen_Mensual'!B7</f>
        <v>3650</v>
      </c>
      <c r="C40" s="4">
        <f>'17_Resumen_Mensual'!C7</f>
        <v>0</v>
      </c>
      <c r="D40" s="8">
        <f>'17_Resumen_Mensual'!D7</f>
        <v>0</v>
      </c>
      <c r="E40" s="4">
        <f>'17_Resumen_Mensual'!J7</f>
        <v>-2255</v>
      </c>
      <c r="F40" s="4">
        <f>'17_Resumen_Mensual'!K7</f>
        <v>730</v>
      </c>
      <c r="G40" t="str">
        <f>'17_Resumen_Mensual'!O7</f>
        <v>ROJO</v>
      </c>
    </row>
    <row r="41" spans="1:15">
      <c r="A41" t="str">
        <f>'17_Resumen_Mensual'!A8</f>
        <v>Octubre</v>
      </c>
      <c r="B41" s="4">
        <f>'17_Resumen_Mensual'!B8</f>
        <v>3685</v>
      </c>
      <c r="C41" s="4">
        <f>'17_Resumen_Mensual'!C8</f>
        <v>0</v>
      </c>
      <c r="D41" s="8">
        <f>'17_Resumen_Mensual'!D8</f>
        <v>0</v>
      </c>
      <c r="E41" s="4">
        <f>'17_Resumen_Mensual'!J8</f>
        <v>-2255</v>
      </c>
      <c r="F41" s="4">
        <f>'17_Resumen_Mensual'!K8</f>
        <v>737</v>
      </c>
      <c r="G41" t="str">
        <f>'17_Resumen_Mensual'!O8</f>
        <v>ROJO</v>
      </c>
    </row>
    <row r="42" spans="1:15">
      <c r="A42" t="str">
        <f>'17_Resumen_Mensual'!A9</f>
        <v>Noviembre</v>
      </c>
      <c r="B42" s="4">
        <f>'17_Resumen_Mensual'!B9</f>
        <v>3805</v>
      </c>
      <c r="C42" s="4">
        <f>'17_Resumen_Mensual'!C9</f>
        <v>0</v>
      </c>
      <c r="D42" s="8">
        <f>'17_Resumen_Mensual'!D9</f>
        <v>0</v>
      </c>
      <c r="E42" s="4">
        <f>'17_Resumen_Mensual'!J9</f>
        <v>-2255</v>
      </c>
      <c r="F42" s="4">
        <f>'17_Resumen_Mensual'!K9</f>
        <v>761</v>
      </c>
      <c r="G42" t="str">
        <f>'17_Resumen_Mensual'!O9</f>
        <v>ROJO</v>
      </c>
    </row>
    <row r="43" spans="1:15">
      <c r="A43" t="str">
        <f>'17_Resumen_Mensual'!A10</f>
        <v>Diciembre</v>
      </c>
      <c r="B43" s="4">
        <f>'17_Resumen_Mensual'!B10</f>
        <v>4140</v>
      </c>
      <c r="C43" s="4">
        <f>'17_Resumen_Mensual'!C10</f>
        <v>0</v>
      </c>
      <c r="D43" s="8">
        <f>'17_Resumen_Mensual'!D10</f>
        <v>0</v>
      </c>
      <c r="E43" s="4">
        <f>'17_Resumen_Mensual'!J10</f>
        <v>-2255</v>
      </c>
      <c r="F43" s="4">
        <f>'17_Resumen_Mensual'!K10</f>
        <v>828</v>
      </c>
      <c r="G43" t="str">
        <f>'17_Resumen_Mensual'!O10</f>
        <v>ROJO</v>
      </c>
    </row>
  </sheetData>
  <mergeCells count="12">
    <mergeCell ref="A27:N27"/>
    <mergeCell ref="A36:O36"/>
    <mergeCell ref="A1:N1"/>
    <mergeCell ref="A2:N2"/>
    <mergeCell ref="A4:C4"/>
    <mergeCell ref="A5:C6"/>
    <mergeCell ref="E4:G4"/>
    <mergeCell ref="E5:G6"/>
    <mergeCell ref="I4:K4"/>
    <mergeCell ref="I5:K6"/>
    <mergeCell ref="M4:N4"/>
    <mergeCell ref="M5:N6"/>
  </mergeCells>
  <conditionalFormatting sqref="G38:G43">
    <cfRule type="expression" dxfId="11" priority="1">
      <formula>G38="VERDE"</formula>
    </cfRule>
    <cfRule type="expression" dxfId="10" priority="2">
      <formula>G38="AMARILLO"</formula>
    </cfRule>
    <cfRule type="expression" dxfId="9" priority="3">
      <formula>G38="ROJO"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"/>
  <sheetViews>
    <sheetView workbookViewId="0">
      <selection sqref="A1:F1"/>
    </sheetView>
  </sheetViews>
  <sheetFormatPr baseColWidth="10" defaultColWidth="8.6640625" defaultRowHeight="14"/>
  <cols>
    <col min="1" max="6" width="28" customWidth="1"/>
  </cols>
  <sheetData>
    <row r="1" spans="1:6" ht="20" customHeight="1">
      <c r="A1" s="54" t="s">
        <v>1268</v>
      </c>
      <c r="B1" s="54"/>
      <c r="C1" s="54"/>
      <c r="D1" s="54"/>
      <c r="E1" s="54"/>
      <c r="F1" s="54"/>
    </row>
    <row r="2" spans="1:6" ht="20" customHeight="1">
      <c r="A2" s="55" t="s">
        <v>1269</v>
      </c>
      <c r="B2" s="55"/>
      <c r="C2" s="55"/>
      <c r="D2" s="55"/>
      <c r="E2" s="55"/>
      <c r="F2" s="55"/>
    </row>
    <row r="4" spans="1:6" ht="21.4" customHeight="1">
      <c r="A4" s="2" t="s">
        <v>1270</v>
      </c>
      <c r="B4" s="2" t="s">
        <v>1271</v>
      </c>
      <c r="C4" s="2" t="s">
        <v>1272</v>
      </c>
      <c r="D4" s="2" t="s">
        <v>897</v>
      </c>
      <c r="E4" s="2" t="s">
        <v>1273</v>
      </c>
      <c r="F4" s="2" t="s">
        <v>384</v>
      </c>
    </row>
    <row r="5" spans="1:6">
      <c r="A5" t="s">
        <v>90</v>
      </c>
      <c r="B5" t="s">
        <v>1274</v>
      </c>
      <c r="C5" t="s">
        <v>1061</v>
      </c>
      <c r="D5" t="s">
        <v>1027</v>
      </c>
      <c r="E5" t="s">
        <v>10</v>
      </c>
      <c r="F5" t="s">
        <v>1275</v>
      </c>
    </row>
    <row r="6" spans="1:6">
      <c r="A6" t="s">
        <v>1276</v>
      </c>
      <c r="B6" t="s">
        <v>1277</v>
      </c>
      <c r="C6" t="s">
        <v>1078</v>
      </c>
      <c r="D6" t="s">
        <v>1062</v>
      </c>
      <c r="E6" t="s">
        <v>942</v>
      </c>
      <c r="F6" t="s">
        <v>1091</v>
      </c>
    </row>
    <row r="7" spans="1:6">
      <c r="A7" t="s">
        <v>1278</v>
      </c>
      <c r="B7" t="s">
        <v>1279</v>
      </c>
      <c r="C7" t="s">
        <v>1050</v>
      </c>
      <c r="D7" t="s">
        <v>1187</v>
      </c>
      <c r="F7" t="s">
        <v>1280</v>
      </c>
    </row>
    <row r="8" spans="1:6">
      <c r="B8" t="s">
        <v>1099</v>
      </c>
      <c r="C8" t="s">
        <v>1281</v>
      </c>
      <c r="D8" t="s">
        <v>1188</v>
      </c>
      <c r="F8" t="s">
        <v>1282</v>
      </c>
    </row>
    <row r="9" spans="1:6">
      <c r="B9" t="s">
        <v>1283</v>
      </c>
      <c r="C9" t="s">
        <v>1284</v>
      </c>
      <c r="D9" t="s">
        <v>1189</v>
      </c>
      <c r="F9" t="s">
        <v>1285</v>
      </c>
    </row>
    <row r="10" spans="1:6">
      <c r="B10" t="s">
        <v>392</v>
      </c>
      <c r="C10" t="s">
        <v>907</v>
      </c>
      <c r="D10" t="s">
        <v>1190</v>
      </c>
      <c r="F10" t="s">
        <v>392</v>
      </c>
    </row>
    <row r="11" spans="1:6">
      <c r="C11" t="s">
        <v>1286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4"/>
  <sheetViews>
    <sheetView workbookViewId="0">
      <selection activeCell="B5" sqref="B5"/>
    </sheetView>
  </sheetViews>
  <sheetFormatPr baseColWidth="10" defaultColWidth="8.6640625" defaultRowHeight="14"/>
  <cols>
    <col min="1" max="1" width="18" customWidth="1"/>
    <col min="2" max="2" width="38" customWidth="1"/>
    <col min="3" max="3" width="42" customWidth="1"/>
    <col min="4" max="4" width="26" customWidth="1"/>
    <col min="5" max="6" width="16" customWidth="1"/>
    <col min="7" max="7" width="14" customWidth="1"/>
    <col min="8" max="8" width="28" customWidth="1"/>
    <col min="9" max="9" width="55" customWidth="1"/>
    <col min="10" max="10" width="24" customWidth="1"/>
    <col min="11" max="11" width="12" customWidth="1"/>
  </cols>
  <sheetData>
    <row r="1" spans="1:11" ht="20" customHeight="1">
      <c r="A1" s="67" t="s">
        <v>2519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22.65" customHeight="1">
      <c r="A2" s="68" t="s">
        <v>1287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4" spans="1:11" ht="22.65" customHeight="1">
      <c r="A4" s="35" t="s">
        <v>1288</v>
      </c>
      <c r="B4" s="35" t="s">
        <v>1289</v>
      </c>
      <c r="C4" s="35" t="s">
        <v>1290</v>
      </c>
      <c r="D4" s="35" t="s">
        <v>1291</v>
      </c>
      <c r="E4" s="35" t="s">
        <v>1292</v>
      </c>
      <c r="F4" s="35" t="s">
        <v>1293</v>
      </c>
      <c r="G4" s="35" t="s">
        <v>1283</v>
      </c>
      <c r="H4" s="35" t="s">
        <v>1294</v>
      </c>
      <c r="I4" s="35" t="s">
        <v>1295</v>
      </c>
      <c r="J4" s="35" t="s">
        <v>1296</v>
      </c>
      <c r="K4" s="35" t="s">
        <v>86</v>
      </c>
    </row>
    <row r="5" spans="1:11" ht="28">
      <c r="A5" s="3" t="s">
        <v>1297</v>
      </c>
      <c r="B5" s="3" t="s">
        <v>1298</v>
      </c>
      <c r="C5" s="3" t="s">
        <v>1299</v>
      </c>
      <c r="D5" s="3" t="s">
        <v>1131</v>
      </c>
      <c r="E5" s="16">
        <v>0</v>
      </c>
      <c r="F5" s="16">
        <v>1000</v>
      </c>
      <c r="G5" s="18">
        <v>0.1</v>
      </c>
      <c r="H5" s="3" t="s">
        <v>1300</v>
      </c>
      <c r="I5" s="3" t="s">
        <v>1301</v>
      </c>
      <c r="J5" s="3" t="s">
        <v>1302</v>
      </c>
      <c r="K5" s="3" t="s">
        <v>90</v>
      </c>
    </row>
    <row r="6" spans="1:11" ht="28">
      <c r="A6" s="3" t="s">
        <v>1303</v>
      </c>
      <c r="B6" s="3" t="s">
        <v>1298</v>
      </c>
      <c r="C6" s="3" t="s">
        <v>1304</v>
      </c>
      <c r="D6" s="3" t="s">
        <v>1131</v>
      </c>
      <c r="E6" s="16">
        <v>1000.01</v>
      </c>
      <c r="F6" s="16">
        <v>2500</v>
      </c>
      <c r="G6" s="18">
        <v>0.12</v>
      </c>
      <c r="H6" s="3" t="s">
        <v>1300</v>
      </c>
      <c r="I6" s="3" t="s">
        <v>1301</v>
      </c>
      <c r="J6" s="3" t="s">
        <v>1302</v>
      </c>
      <c r="K6" s="3" t="s">
        <v>90</v>
      </c>
    </row>
    <row r="7" spans="1:11" ht="28">
      <c r="A7" s="3" t="s">
        <v>1305</v>
      </c>
      <c r="B7" s="3" t="s">
        <v>1298</v>
      </c>
      <c r="C7" s="3" t="s">
        <v>1306</v>
      </c>
      <c r="D7" s="3" t="s">
        <v>1131</v>
      </c>
      <c r="E7" s="16">
        <v>2500.0100000000002</v>
      </c>
      <c r="F7" s="16">
        <v>9999999</v>
      </c>
      <c r="G7" s="18">
        <v>0.15</v>
      </c>
      <c r="H7" s="3" t="s">
        <v>1300</v>
      </c>
      <c r="I7" s="3" t="s">
        <v>1301</v>
      </c>
      <c r="J7" s="3" t="s">
        <v>1302</v>
      </c>
      <c r="K7" s="3" t="s">
        <v>90</v>
      </c>
    </row>
    <row r="8" spans="1:11" ht="28">
      <c r="A8" s="3" t="s">
        <v>1307</v>
      </c>
      <c r="B8" s="3" t="s">
        <v>1308</v>
      </c>
      <c r="C8" s="3" t="s">
        <v>1309</v>
      </c>
      <c r="D8" s="3" t="s">
        <v>1131</v>
      </c>
      <c r="E8" s="16">
        <v>0</v>
      </c>
      <c r="F8" s="16">
        <v>9999999</v>
      </c>
      <c r="G8" s="18">
        <v>0.05</v>
      </c>
      <c r="H8" s="3" t="s">
        <v>1300</v>
      </c>
      <c r="I8" s="3" t="s">
        <v>1310</v>
      </c>
      <c r="J8" s="3" t="s">
        <v>1302</v>
      </c>
      <c r="K8" s="3" t="s">
        <v>90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22.65" customHeight="1">
      <c r="A10" s="35" t="s">
        <v>1104</v>
      </c>
      <c r="B10" s="35" t="s">
        <v>1311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ht="28">
      <c r="A11" s="3" t="s">
        <v>1312</v>
      </c>
      <c r="B11" s="3" t="s">
        <v>1313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 ht="42">
      <c r="A12" s="3" t="s">
        <v>1314</v>
      </c>
      <c r="B12" s="3" t="s">
        <v>1315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ht="28">
      <c r="A13" s="3" t="s">
        <v>1316</v>
      </c>
      <c r="B13" s="3" t="s">
        <v>1317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ht="28">
      <c r="A14" s="3" t="s">
        <v>1318</v>
      </c>
      <c r="B14" s="3" t="s">
        <v>1319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ht="28">
      <c r="A15" s="3" t="s">
        <v>1320</v>
      </c>
      <c r="B15" s="3" t="s">
        <v>1321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ht="28">
      <c r="A16" s="3" t="s">
        <v>1322</v>
      </c>
      <c r="B16" s="3" t="s">
        <v>1323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ht="28">
      <c r="A17" s="3" t="s">
        <v>1324</v>
      </c>
      <c r="B17" s="3" t="s">
        <v>1325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2.65" customHeight="1">
      <c r="A19" s="35" t="s">
        <v>1326</v>
      </c>
      <c r="B19" s="35" t="s">
        <v>1327</v>
      </c>
      <c r="C19" s="35" t="s">
        <v>1328</v>
      </c>
      <c r="D19" s="35" t="s">
        <v>1329</v>
      </c>
      <c r="E19" s="35" t="s">
        <v>1330</v>
      </c>
      <c r="F19" s="35" t="s">
        <v>1331</v>
      </c>
      <c r="G19" s="3"/>
      <c r="H19" s="3"/>
      <c r="I19" s="3"/>
      <c r="J19" s="3"/>
      <c r="K19" s="3"/>
    </row>
    <row r="20" spans="1:11">
      <c r="A20" s="3" t="s">
        <v>1332</v>
      </c>
      <c r="B20" s="16">
        <v>600</v>
      </c>
      <c r="C20" s="21">
        <f>MIN(B20,1000)*10%</f>
        <v>60</v>
      </c>
      <c r="D20" s="21">
        <f>MAX(MIN(B20-1000,1500),0)*12%</f>
        <v>0</v>
      </c>
      <c r="E20" s="21">
        <f>MAX(B20-2500,0)*15%</f>
        <v>0</v>
      </c>
      <c r="F20" s="21">
        <f>SUM(C20:E20)</f>
        <v>60</v>
      </c>
      <c r="G20" s="3"/>
      <c r="H20" s="3"/>
      <c r="I20" s="3"/>
      <c r="J20" s="3"/>
      <c r="K20" s="3"/>
    </row>
    <row r="21" spans="1:11">
      <c r="A21" s="3" t="s">
        <v>1333</v>
      </c>
      <c r="B21" s="16">
        <v>1800</v>
      </c>
      <c r="C21" s="21">
        <f>MIN(B21,1000)*10%</f>
        <v>100</v>
      </c>
      <c r="D21" s="21">
        <f>MAX(MIN(B21-1000,1500),0)*12%</f>
        <v>96</v>
      </c>
      <c r="E21" s="21">
        <f>MAX(B21-2500,0)*15%</f>
        <v>0</v>
      </c>
      <c r="F21" s="21">
        <f>SUM(C21:E21)</f>
        <v>196</v>
      </c>
      <c r="G21" s="3"/>
      <c r="H21" s="3"/>
      <c r="I21" s="3"/>
      <c r="J21" s="3"/>
      <c r="K21" s="3"/>
    </row>
    <row r="22" spans="1:11">
      <c r="A22" s="3" t="s">
        <v>1334</v>
      </c>
      <c r="B22" s="16">
        <v>3000</v>
      </c>
      <c r="C22" s="21">
        <f>MIN(B22,1000)*10%</f>
        <v>100</v>
      </c>
      <c r="D22" s="21">
        <f>MAX(MIN(B22-1000,1500),0)*12%</f>
        <v>180</v>
      </c>
      <c r="E22" s="21">
        <f>MAX(B22-2500,0)*15%</f>
        <v>75</v>
      </c>
      <c r="F22" s="21">
        <f>SUM(C22:E22)</f>
        <v>355</v>
      </c>
      <c r="G22" s="3"/>
      <c r="H22" s="3"/>
      <c r="I22" s="3"/>
      <c r="J22" s="3"/>
      <c r="K22" s="3"/>
    </row>
    <row r="23" spans="1:11">
      <c r="A23" s="3" t="s">
        <v>1335</v>
      </c>
      <c r="B23" s="16">
        <v>4500</v>
      </c>
      <c r="C23" s="21">
        <f>MIN(B23,1000)*10%</f>
        <v>100</v>
      </c>
      <c r="D23" s="21">
        <f>MAX(MIN(B23-1000,1500),0)*12%</f>
        <v>180</v>
      </c>
      <c r="E23" s="21">
        <f>MAX(B23-2500,0)*15%</f>
        <v>300</v>
      </c>
      <c r="F23" s="21">
        <f>SUM(C23:E23)</f>
        <v>580</v>
      </c>
      <c r="G23" s="3"/>
      <c r="H23" s="3"/>
      <c r="I23" s="3"/>
      <c r="J23" s="3"/>
      <c r="K23" s="3"/>
    </row>
    <row r="24" spans="1:11" ht="28">
      <c r="A24" s="3" t="s">
        <v>1336</v>
      </c>
      <c r="B24" s="3" t="s">
        <v>1337</v>
      </c>
      <c r="C24" s="3"/>
      <c r="D24" s="3"/>
      <c r="E24" s="3"/>
      <c r="F24" s="3"/>
      <c r="G24" s="3"/>
      <c r="H24" s="3"/>
      <c r="I24" s="3"/>
      <c r="J24" s="3"/>
      <c r="K24" s="3"/>
    </row>
  </sheetData>
  <mergeCells count="2">
    <mergeCell ref="A1:K1"/>
    <mergeCell ref="A2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8"/>
  <sheetViews>
    <sheetView topLeftCell="A29" workbookViewId="0">
      <selection sqref="A1:N1"/>
    </sheetView>
  </sheetViews>
  <sheetFormatPr baseColWidth="10" defaultColWidth="8.6640625" defaultRowHeight="14"/>
  <cols>
    <col min="1" max="1" width="18" customWidth="1"/>
    <col min="2" max="2" width="22" customWidth="1"/>
    <col min="3" max="3" width="28" customWidth="1"/>
    <col min="4" max="4" width="16" customWidth="1"/>
    <col min="5" max="6" width="12" customWidth="1"/>
    <col min="7" max="7" width="30" customWidth="1"/>
    <col min="8" max="8" width="42" customWidth="1"/>
    <col min="9" max="9" width="32" customWidth="1"/>
    <col min="10" max="10" width="26" customWidth="1"/>
    <col min="11" max="11" width="16" customWidth="1"/>
    <col min="12" max="12" width="24" customWidth="1"/>
    <col min="13" max="13" width="12" customWidth="1"/>
    <col min="14" max="14" width="38" customWidth="1"/>
  </cols>
  <sheetData>
    <row r="1" spans="1:14" ht="20" customHeight="1">
      <c r="A1" s="69" t="s">
        <v>1338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22.65" customHeight="1">
      <c r="A2" s="70" t="s">
        <v>1339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4" spans="1:14" ht="22.65" customHeight="1">
      <c r="A4" s="35" t="s">
        <v>1340</v>
      </c>
      <c r="B4" s="35" t="s">
        <v>1341</v>
      </c>
      <c r="C4" s="35" t="s">
        <v>1342</v>
      </c>
      <c r="D4" s="35" t="s">
        <v>1343</v>
      </c>
      <c r="E4" s="35" t="s">
        <v>1344</v>
      </c>
      <c r="F4" s="35" t="s">
        <v>1345</v>
      </c>
      <c r="G4" s="35" t="s">
        <v>1346</v>
      </c>
      <c r="H4" s="35" t="s">
        <v>1347</v>
      </c>
      <c r="I4" s="35" t="s">
        <v>1348</v>
      </c>
      <c r="J4" s="35" t="s">
        <v>1349</v>
      </c>
      <c r="K4" s="35" t="s">
        <v>1350</v>
      </c>
      <c r="L4" s="35" t="s">
        <v>1326</v>
      </c>
      <c r="M4" s="35" t="s">
        <v>75</v>
      </c>
      <c r="N4" s="35" t="s">
        <v>1351</v>
      </c>
    </row>
    <row r="5" spans="1:14">
      <c r="A5" s="3" t="s">
        <v>1352</v>
      </c>
      <c r="B5" s="3" t="s">
        <v>1353</v>
      </c>
      <c r="C5" s="3" t="s">
        <v>1354</v>
      </c>
      <c r="D5" s="3" t="s">
        <v>1355</v>
      </c>
      <c r="E5" s="3" t="s">
        <v>1140</v>
      </c>
      <c r="F5" s="3" t="s">
        <v>1135</v>
      </c>
      <c r="G5" s="3" t="s">
        <v>1356</v>
      </c>
      <c r="H5" s="3" t="s">
        <v>1357</v>
      </c>
      <c r="I5" s="3"/>
      <c r="J5" s="3" t="s">
        <v>1358</v>
      </c>
      <c r="K5" s="3" t="s">
        <v>1140</v>
      </c>
      <c r="L5" s="3" t="s">
        <v>87</v>
      </c>
      <c r="M5" s="3" t="s">
        <v>81</v>
      </c>
      <c r="N5" s="3" t="s">
        <v>1359</v>
      </c>
    </row>
    <row r="6" spans="1:14">
      <c r="A6" s="3" t="s">
        <v>1352</v>
      </c>
      <c r="B6" s="3" t="s">
        <v>1353</v>
      </c>
      <c r="C6" s="3" t="s">
        <v>1360</v>
      </c>
      <c r="D6" s="3" t="s">
        <v>1361</v>
      </c>
      <c r="E6" s="3" t="s">
        <v>1140</v>
      </c>
      <c r="F6" s="3" t="s">
        <v>1140</v>
      </c>
      <c r="G6" s="3" t="s">
        <v>1356</v>
      </c>
      <c r="H6" s="3" t="s">
        <v>1362</v>
      </c>
      <c r="I6" s="3"/>
      <c r="J6" s="3" t="s">
        <v>1363</v>
      </c>
      <c r="K6" s="3" t="s">
        <v>1140</v>
      </c>
      <c r="L6" s="3" t="s">
        <v>88</v>
      </c>
      <c r="M6" s="3" t="s">
        <v>81</v>
      </c>
      <c r="N6" s="3"/>
    </row>
    <row r="7" spans="1:14">
      <c r="A7" s="3" t="s">
        <v>1352</v>
      </c>
      <c r="B7" s="3" t="s">
        <v>1364</v>
      </c>
      <c r="C7" s="3" t="s">
        <v>1365</v>
      </c>
      <c r="D7" s="3" t="s">
        <v>1366</v>
      </c>
      <c r="E7" s="3" t="s">
        <v>1140</v>
      </c>
      <c r="F7" s="3" t="s">
        <v>1135</v>
      </c>
      <c r="G7" s="3" t="s">
        <v>1367</v>
      </c>
      <c r="H7" s="3" t="s">
        <v>1368</v>
      </c>
      <c r="I7" s="3"/>
      <c r="J7" s="3" t="s">
        <v>1358</v>
      </c>
      <c r="K7" s="3" t="s">
        <v>1140</v>
      </c>
      <c r="L7" s="3" t="s">
        <v>1369</v>
      </c>
      <c r="M7" s="3" t="s">
        <v>81</v>
      </c>
      <c r="N7" s="3"/>
    </row>
    <row r="8" spans="1:14" ht="28">
      <c r="A8" s="3" t="s">
        <v>1352</v>
      </c>
      <c r="B8" s="3" t="s">
        <v>1370</v>
      </c>
      <c r="C8" s="3" t="s">
        <v>1371</v>
      </c>
      <c r="D8" s="3" t="s">
        <v>1361</v>
      </c>
      <c r="E8" s="3" t="s">
        <v>1140</v>
      </c>
      <c r="F8" s="3" t="s">
        <v>1135</v>
      </c>
      <c r="G8" s="3" t="s">
        <v>1372</v>
      </c>
      <c r="H8" s="3" t="s">
        <v>1373</v>
      </c>
      <c r="I8" s="3"/>
      <c r="J8" s="3" t="s">
        <v>1374</v>
      </c>
      <c r="K8" s="3" t="s">
        <v>1140</v>
      </c>
      <c r="L8" s="3" t="s">
        <v>908</v>
      </c>
      <c r="M8" s="3" t="s">
        <v>45</v>
      </c>
      <c r="N8" s="3" t="s">
        <v>1375</v>
      </c>
    </row>
    <row r="9" spans="1:14">
      <c r="A9" s="3" t="s">
        <v>1352</v>
      </c>
      <c r="B9" s="3" t="s">
        <v>1370</v>
      </c>
      <c r="C9" s="3" t="s">
        <v>1376</v>
      </c>
      <c r="D9" s="3" t="s">
        <v>1361</v>
      </c>
      <c r="E9" s="3" t="s">
        <v>1140</v>
      </c>
      <c r="F9" s="3" t="s">
        <v>1140</v>
      </c>
      <c r="G9" s="3" t="s">
        <v>1356</v>
      </c>
      <c r="H9" s="3" t="s">
        <v>1377</v>
      </c>
      <c r="I9" s="3"/>
      <c r="J9" s="3" t="s">
        <v>1378</v>
      </c>
      <c r="K9" s="3" t="s">
        <v>1140</v>
      </c>
      <c r="L9" s="3" t="s">
        <v>906</v>
      </c>
      <c r="M9" s="3" t="s">
        <v>45</v>
      </c>
      <c r="N9" s="3"/>
    </row>
    <row r="10" spans="1:14">
      <c r="A10" s="3" t="s">
        <v>1352</v>
      </c>
      <c r="B10" s="3" t="s">
        <v>1370</v>
      </c>
      <c r="C10" s="3" t="s">
        <v>1379</v>
      </c>
      <c r="D10" s="3" t="s">
        <v>1380</v>
      </c>
      <c r="E10" s="3" t="s">
        <v>1135</v>
      </c>
      <c r="F10" s="3" t="s">
        <v>1140</v>
      </c>
      <c r="G10" s="3" t="s">
        <v>1356</v>
      </c>
      <c r="H10" s="3" t="s">
        <v>1381</v>
      </c>
      <c r="I10" s="3"/>
      <c r="J10" s="3" t="s">
        <v>1382</v>
      </c>
      <c r="K10" s="3" t="s">
        <v>1140</v>
      </c>
      <c r="L10" s="3" t="s">
        <v>1383</v>
      </c>
      <c r="M10" s="3" t="s">
        <v>1384</v>
      </c>
      <c r="N10" s="3"/>
    </row>
    <row r="11" spans="1:14">
      <c r="A11" s="3" t="s">
        <v>1385</v>
      </c>
      <c r="B11" s="3" t="s">
        <v>1386</v>
      </c>
      <c r="C11" s="3" t="s">
        <v>1387</v>
      </c>
      <c r="D11" s="3" t="s">
        <v>1388</v>
      </c>
      <c r="E11" s="3" t="s">
        <v>1140</v>
      </c>
      <c r="F11" s="3" t="s">
        <v>1135</v>
      </c>
      <c r="G11" s="3" t="s">
        <v>1389</v>
      </c>
      <c r="H11" s="3" t="s">
        <v>1390</v>
      </c>
      <c r="I11" s="3"/>
      <c r="J11" s="3" t="s">
        <v>1391</v>
      </c>
      <c r="K11" s="3" t="s">
        <v>1140</v>
      </c>
      <c r="L11" s="3" t="s">
        <v>1392</v>
      </c>
      <c r="M11" s="3" t="s">
        <v>45</v>
      </c>
      <c r="N11" s="3"/>
    </row>
    <row r="12" spans="1:14">
      <c r="A12" s="3" t="s">
        <v>1385</v>
      </c>
      <c r="B12" s="3" t="s">
        <v>1386</v>
      </c>
      <c r="C12" s="3" t="s">
        <v>1393</v>
      </c>
      <c r="D12" s="3" t="s">
        <v>1394</v>
      </c>
      <c r="E12" s="3" t="s">
        <v>1140</v>
      </c>
      <c r="F12" s="3" t="s">
        <v>1140</v>
      </c>
      <c r="G12" s="3" t="s">
        <v>1395</v>
      </c>
      <c r="H12" s="3" t="s">
        <v>1396</v>
      </c>
      <c r="I12" s="3"/>
      <c r="J12" s="3" t="s">
        <v>1397</v>
      </c>
      <c r="K12" s="3" t="s">
        <v>1140</v>
      </c>
      <c r="L12" s="3" t="s">
        <v>1398</v>
      </c>
      <c r="M12" s="3" t="s">
        <v>45</v>
      </c>
      <c r="N12" s="3"/>
    </row>
    <row r="13" spans="1:14">
      <c r="A13" s="3" t="s">
        <v>1385</v>
      </c>
      <c r="B13" s="3" t="s">
        <v>1386</v>
      </c>
      <c r="C13" s="3" t="s">
        <v>1371</v>
      </c>
      <c r="D13" s="3" t="s">
        <v>1394</v>
      </c>
      <c r="E13" s="3" t="s">
        <v>1140</v>
      </c>
      <c r="F13" s="3" t="s">
        <v>1140</v>
      </c>
      <c r="G13" s="3" t="s">
        <v>1399</v>
      </c>
      <c r="H13" s="3" t="s">
        <v>1400</v>
      </c>
      <c r="I13" s="3" t="s">
        <v>1401</v>
      </c>
      <c r="J13" s="3" t="s">
        <v>1402</v>
      </c>
      <c r="K13" s="3" t="s">
        <v>1140</v>
      </c>
      <c r="L13" s="3" t="s">
        <v>908</v>
      </c>
      <c r="M13" s="3" t="s">
        <v>45</v>
      </c>
      <c r="N13" s="3"/>
    </row>
    <row r="14" spans="1:14" ht="28">
      <c r="A14" s="3" t="s">
        <v>1385</v>
      </c>
      <c r="B14" s="3" t="s">
        <v>1386</v>
      </c>
      <c r="C14" s="3" t="s">
        <v>1403</v>
      </c>
      <c r="D14" s="3" t="s">
        <v>1404</v>
      </c>
      <c r="E14" s="3" t="s">
        <v>1140</v>
      </c>
      <c r="F14" s="3" t="s">
        <v>1140</v>
      </c>
      <c r="G14" s="3" t="s">
        <v>1405</v>
      </c>
      <c r="H14" s="3" t="s">
        <v>1406</v>
      </c>
      <c r="I14" s="3"/>
      <c r="J14" s="3" t="s">
        <v>1407</v>
      </c>
      <c r="K14" s="3" t="s">
        <v>1140</v>
      </c>
      <c r="L14" s="3" t="s">
        <v>1408</v>
      </c>
      <c r="M14" s="3" t="s">
        <v>45</v>
      </c>
      <c r="N14" s="3" t="s">
        <v>1409</v>
      </c>
    </row>
    <row r="15" spans="1:14">
      <c r="A15" s="3" t="s">
        <v>1385</v>
      </c>
      <c r="B15" s="3" t="s">
        <v>1386</v>
      </c>
      <c r="C15" s="3" t="s">
        <v>1410</v>
      </c>
      <c r="D15" s="3" t="s">
        <v>1404</v>
      </c>
      <c r="E15" s="3" t="s">
        <v>1140</v>
      </c>
      <c r="F15" s="3" t="s">
        <v>1140</v>
      </c>
      <c r="G15" s="3" t="s">
        <v>1405</v>
      </c>
      <c r="H15" s="3" t="s">
        <v>1411</v>
      </c>
      <c r="I15" s="3"/>
      <c r="J15" s="3" t="s">
        <v>1412</v>
      </c>
      <c r="K15" s="3" t="s">
        <v>1140</v>
      </c>
      <c r="L15" s="3" t="s">
        <v>1413</v>
      </c>
      <c r="M15" s="3" t="s">
        <v>45</v>
      </c>
      <c r="N15" s="3"/>
    </row>
    <row r="16" spans="1:14">
      <c r="A16" s="3" t="s">
        <v>1385</v>
      </c>
      <c r="B16" s="3" t="s">
        <v>1386</v>
      </c>
      <c r="C16" s="3" t="s">
        <v>1414</v>
      </c>
      <c r="D16" s="3" t="s">
        <v>1415</v>
      </c>
      <c r="E16" s="3" t="s">
        <v>1140</v>
      </c>
      <c r="F16" s="3" t="s">
        <v>1140</v>
      </c>
      <c r="G16" s="3" t="s">
        <v>1416</v>
      </c>
      <c r="H16" s="3" t="s">
        <v>1417</v>
      </c>
      <c r="I16" s="3"/>
      <c r="J16" s="3" t="s">
        <v>1418</v>
      </c>
      <c r="K16" s="3" t="s">
        <v>1140</v>
      </c>
      <c r="L16" s="3" t="s">
        <v>1419</v>
      </c>
      <c r="M16" s="3" t="s">
        <v>45</v>
      </c>
      <c r="N16" s="3" t="s">
        <v>1420</v>
      </c>
    </row>
    <row r="17" spans="1:14">
      <c r="A17" s="3" t="s">
        <v>1385</v>
      </c>
      <c r="B17" s="3" t="s">
        <v>1386</v>
      </c>
      <c r="C17" s="3" t="s">
        <v>1421</v>
      </c>
      <c r="D17" s="3" t="s">
        <v>1415</v>
      </c>
      <c r="E17" s="3" t="s">
        <v>1140</v>
      </c>
      <c r="F17" s="3" t="s">
        <v>1140</v>
      </c>
      <c r="G17" s="3" t="s">
        <v>1422</v>
      </c>
      <c r="H17" s="3" t="s">
        <v>1417</v>
      </c>
      <c r="I17" s="3" t="s">
        <v>1423</v>
      </c>
      <c r="J17" s="3" t="s">
        <v>1424</v>
      </c>
      <c r="K17" s="3" t="s">
        <v>1140</v>
      </c>
      <c r="L17" s="3" t="s">
        <v>1425</v>
      </c>
      <c r="M17" s="3" t="s">
        <v>81</v>
      </c>
      <c r="N17" s="3"/>
    </row>
    <row r="18" spans="1:14" ht="28">
      <c r="A18" s="3" t="s">
        <v>1385</v>
      </c>
      <c r="B18" s="3" t="s">
        <v>1386</v>
      </c>
      <c r="C18" s="3" t="s">
        <v>1426</v>
      </c>
      <c r="D18" s="3" t="s">
        <v>1404</v>
      </c>
      <c r="E18" s="3" t="s">
        <v>1140</v>
      </c>
      <c r="F18" s="3" t="s">
        <v>1140</v>
      </c>
      <c r="G18" s="3" t="s">
        <v>1427</v>
      </c>
      <c r="H18" s="3" t="s">
        <v>1428</v>
      </c>
      <c r="I18" s="3"/>
      <c r="J18" s="3" t="s">
        <v>1429</v>
      </c>
      <c r="K18" s="3" t="s">
        <v>1140</v>
      </c>
      <c r="L18" s="3" t="s">
        <v>1050</v>
      </c>
      <c r="M18" s="3" t="s">
        <v>45</v>
      </c>
      <c r="N18" s="3"/>
    </row>
    <row r="19" spans="1:14">
      <c r="A19" s="3" t="s">
        <v>1385</v>
      </c>
      <c r="B19" s="3" t="s">
        <v>1386</v>
      </c>
      <c r="C19" s="3" t="s">
        <v>1430</v>
      </c>
      <c r="D19" s="3" t="s">
        <v>1431</v>
      </c>
      <c r="E19" s="3" t="s">
        <v>1140</v>
      </c>
      <c r="F19" s="3" t="s">
        <v>1140</v>
      </c>
      <c r="G19" s="3" t="s">
        <v>1432</v>
      </c>
      <c r="H19" s="3" t="s">
        <v>1433</v>
      </c>
      <c r="I19" s="3" t="s">
        <v>1434</v>
      </c>
      <c r="J19" s="3" t="s">
        <v>1435</v>
      </c>
      <c r="K19" s="3" t="s">
        <v>1140</v>
      </c>
      <c r="L19" s="3" t="s">
        <v>1436</v>
      </c>
      <c r="M19" s="3" t="s">
        <v>45</v>
      </c>
      <c r="N19" s="3"/>
    </row>
    <row r="20" spans="1:14">
      <c r="A20" s="3" t="s">
        <v>1437</v>
      </c>
      <c r="B20" s="3" t="s">
        <v>1438</v>
      </c>
      <c r="C20" s="3" t="s">
        <v>1439</v>
      </c>
      <c r="D20" s="3" t="s">
        <v>1415</v>
      </c>
      <c r="E20" s="3" t="s">
        <v>1140</v>
      </c>
      <c r="F20" s="3" t="s">
        <v>1140</v>
      </c>
      <c r="G20" s="3" t="s">
        <v>1440</v>
      </c>
      <c r="H20" s="3" t="s">
        <v>1441</v>
      </c>
      <c r="I20" s="3" t="s">
        <v>1442</v>
      </c>
      <c r="J20" s="3" t="s">
        <v>1443</v>
      </c>
      <c r="K20" s="3" t="s">
        <v>1140</v>
      </c>
      <c r="L20" s="3" t="s">
        <v>1444</v>
      </c>
      <c r="M20" s="3" t="s">
        <v>45</v>
      </c>
      <c r="N20" s="3"/>
    </row>
    <row r="21" spans="1:14">
      <c r="A21" s="3" t="s">
        <v>1437</v>
      </c>
      <c r="B21" s="3" t="s">
        <v>1438</v>
      </c>
      <c r="C21" s="3" t="s">
        <v>1445</v>
      </c>
      <c r="D21" s="3" t="s">
        <v>896</v>
      </c>
      <c r="E21" s="3" t="s">
        <v>1140</v>
      </c>
      <c r="F21" s="3" t="s">
        <v>1140</v>
      </c>
      <c r="G21" s="3" t="s">
        <v>1446</v>
      </c>
      <c r="H21" s="3" t="s">
        <v>1447</v>
      </c>
      <c r="I21" s="3" t="s">
        <v>1448</v>
      </c>
      <c r="J21" s="3" t="s">
        <v>1449</v>
      </c>
      <c r="K21" s="3" t="s">
        <v>1140</v>
      </c>
      <c r="L21" s="3" t="s">
        <v>1450</v>
      </c>
      <c r="M21" s="3" t="s">
        <v>45</v>
      </c>
      <c r="N21" s="3"/>
    </row>
    <row r="22" spans="1:14">
      <c r="A22" s="3" t="s">
        <v>1437</v>
      </c>
      <c r="B22" s="3" t="s">
        <v>1438</v>
      </c>
      <c r="C22" s="3" t="s">
        <v>1451</v>
      </c>
      <c r="D22" s="3" t="s">
        <v>1415</v>
      </c>
      <c r="E22" s="3" t="s">
        <v>1140</v>
      </c>
      <c r="F22" s="3" t="s">
        <v>1140</v>
      </c>
      <c r="G22" s="3" t="s">
        <v>1440</v>
      </c>
      <c r="H22" s="3" t="s">
        <v>1417</v>
      </c>
      <c r="I22" s="3" t="s">
        <v>1452</v>
      </c>
      <c r="J22" s="3" t="s">
        <v>1453</v>
      </c>
      <c r="K22" s="3" t="s">
        <v>1140</v>
      </c>
      <c r="L22" s="3" t="s">
        <v>1454</v>
      </c>
      <c r="M22" s="3" t="s">
        <v>45</v>
      </c>
      <c r="N22" s="3"/>
    </row>
    <row r="23" spans="1:14">
      <c r="A23" s="3" t="s">
        <v>1437</v>
      </c>
      <c r="B23" s="3" t="s">
        <v>1438</v>
      </c>
      <c r="C23" s="3" t="s">
        <v>1455</v>
      </c>
      <c r="D23" s="3" t="s">
        <v>1415</v>
      </c>
      <c r="E23" s="3" t="s">
        <v>1140</v>
      </c>
      <c r="F23" s="3" t="s">
        <v>1135</v>
      </c>
      <c r="G23" s="3" t="s">
        <v>1456</v>
      </c>
      <c r="H23" s="3" t="s">
        <v>1457</v>
      </c>
      <c r="I23" s="3" t="s">
        <v>1458</v>
      </c>
      <c r="J23" s="3" t="s">
        <v>1459</v>
      </c>
      <c r="K23" s="3" t="s">
        <v>1140</v>
      </c>
      <c r="L23" s="3" t="s">
        <v>1460</v>
      </c>
      <c r="M23" s="3" t="s">
        <v>45</v>
      </c>
      <c r="N23" s="3"/>
    </row>
    <row r="24" spans="1:14">
      <c r="A24" s="3" t="s">
        <v>1461</v>
      </c>
      <c r="B24" s="3" t="s">
        <v>1462</v>
      </c>
      <c r="C24" s="3" t="s">
        <v>1463</v>
      </c>
      <c r="D24" s="3" t="s">
        <v>1464</v>
      </c>
      <c r="E24" s="3" t="s">
        <v>1140</v>
      </c>
      <c r="F24" s="3" t="s">
        <v>1140</v>
      </c>
      <c r="G24" s="3" t="s">
        <v>1465</v>
      </c>
      <c r="H24" s="3" t="s">
        <v>1466</v>
      </c>
      <c r="I24" s="3" t="s">
        <v>1467</v>
      </c>
      <c r="J24" s="3" t="s">
        <v>1468</v>
      </c>
      <c r="K24" s="3" t="s">
        <v>1140</v>
      </c>
      <c r="L24" s="3" t="s">
        <v>1140</v>
      </c>
      <c r="M24" s="3" t="s">
        <v>45</v>
      </c>
      <c r="N24" s="3"/>
    </row>
    <row r="25" spans="1:14">
      <c r="A25" s="3" t="s">
        <v>1461</v>
      </c>
      <c r="B25" s="3" t="s">
        <v>1462</v>
      </c>
      <c r="C25" s="3" t="s">
        <v>1469</v>
      </c>
      <c r="D25" s="3" t="s">
        <v>1283</v>
      </c>
      <c r="E25" s="3" t="s">
        <v>1140</v>
      </c>
      <c r="F25" s="3" t="s">
        <v>1135</v>
      </c>
      <c r="G25" s="3" t="s">
        <v>1470</v>
      </c>
      <c r="H25" s="3" t="s">
        <v>1471</v>
      </c>
      <c r="I25" s="3" t="s">
        <v>1472</v>
      </c>
      <c r="J25" s="3" t="s">
        <v>1473</v>
      </c>
      <c r="K25" s="3" t="s">
        <v>1140</v>
      </c>
      <c r="L25" s="3" t="s">
        <v>1474</v>
      </c>
      <c r="M25" s="3" t="s">
        <v>45</v>
      </c>
      <c r="N25" s="3"/>
    </row>
    <row r="26" spans="1:14">
      <c r="A26" s="3" t="s">
        <v>1461</v>
      </c>
      <c r="B26" s="3" t="s">
        <v>1462</v>
      </c>
      <c r="C26" s="3" t="s">
        <v>1475</v>
      </c>
      <c r="D26" s="3" t="s">
        <v>1415</v>
      </c>
      <c r="E26" s="3" t="s">
        <v>1140</v>
      </c>
      <c r="F26" s="3" t="s">
        <v>1135</v>
      </c>
      <c r="G26" s="3" t="s">
        <v>1131</v>
      </c>
      <c r="H26" s="3" t="s">
        <v>1476</v>
      </c>
      <c r="I26" s="3" t="s">
        <v>1477</v>
      </c>
      <c r="J26" s="3" t="s">
        <v>1478</v>
      </c>
      <c r="K26" s="3" t="s">
        <v>1140</v>
      </c>
      <c r="L26" s="3" t="s">
        <v>1479</v>
      </c>
      <c r="M26" s="3" t="s">
        <v>45</v>
      </c>
      <c r="N26" s="3"/>
    </row>
    <row r="27" spans="1:14">
      <c r="A27" s="3" t="s">
        <v>14</v>
      </c>
      <c r="B27" s="3" t="s">
        <v>1480</v>
      </c>
      <c r="C27" s="3" t="s">
        <v>1481</v>
      </c>
      <c r="D27" s="3" t="s">
        <v>1482</v>
      </c>
      <c r="E27" s="3" t="s">
        <v>1140</v>
      </c>
      <c r="F27" s="3" t="s">
        <v>1140</v>
      </c>
      <c r="G27" s="3" t="s">
        <v>1483</v>
      </c>
      <c r="H27" s="3" t="s">
        <v>1417</v>
      </c>
      <c r="I27" s="3" t="s">
        <v>1484</v>
      </c>
      <c r="J27" s="3" t="s">
        <v>1485</v>
      </c>
      <c r="K27" s="3" t="s">
        <v>1140</v>
      </c>
      <c r="L27" s="3" t="s">
        <v>1486</v>
      </c>
      <c r="M27" s="3" t="s">
        <v>81</v>
      </c>
      <c r="N27" s="3"/>
    </row>
    <row r="28" spans="1:14">
      <c r="A28" s="3" t="s">
        <v>14</v>
      </c>
      <c r="B28" s="3" t="s">
        <v>1480</v>
      </c>
      <c r="C28" s="3" t="s">
        <v>1487</v>
      </c>
      <c r="D28" s="3" t="s">
        <v>1415</v>
      </c>
      <c r="E28" s="3" t="s">
        <v>1140</v>
      </c>
      <c r="F28" s="3" t="s">
        <v>1140</v>
      </c>
      <c r="G28" s="3" t="s">
        <v>1483</v>
      </c>
      <c r="H28" s="3" t="s">
        <v>1417</v>
      </c>
      <c r="I28" s="3" t="s">
        <v>1488</v>
      </c>
      <c r="J28" s="3" t="s">
        <v>1489</v>
      </c>
      <c r="K28" s="3" t="s">
        <v>1140</v>
      </c>
      <c r="L28" s="3" t="s">
        <v>1490</v>
      </c>
      <c r="M28" s="3" t="s">
        <v>81</v>
      </c>
      <c r="N28" s="3"/>
    </row>
    <row r="29" spans="1:14">
      <c r="A29" s="3" t="s">
        <v>14</v>
      </c>
      <c r="B29" s="3" t="s">
        <v>1480</v>
      </c>
      <c r="C29" s="3" t="s">
        <v>1491</v>
      </c>
      <c r="D29" s="3" t="s">
        <v>1415</v>
      </c>
      <c r="E29" s="3" t="s">
        <v>1140</v>
      </c>
      <c r="F29" s="3" t="s">
        <v>1135</v>
      </c>
      <c r="G29" s="3" t="s">
        <v>1492</v>
      </c>
      <c r="H29" s="3" t="s">
        <v>1493</v>
      </c>
      <c r="I29" s="3" t="s">
        <v>1494</v>
      </c>
      <c r="J29" s="3" t="s">
        <v>1495</v>
      </c>
      <c r="K29" s="3" t="s">
        <v>1140</v>
      </c>
      <c r="L29" s="3" t="s">
        <v>1496</v>
      </c>
      <c r="M29" s="3" t="s">
        <v>45</v>
      </c>
      <c r="N29" s="3"/>
    </row>
    <row r="30" spans="1:14">
      <c r="A30" s="3" t="s">
        <v>14</v>
      </c>
      <c r="B30" s="3" t="s">
        <v>1480</v>
      </c>
      <c r="C30" s="3" t="s">
        <v>1497</v>
      </c>
      <c r="D30" s="3" t="s">
        <v>1283</v>
      </c>
      <c r="E30" s="3" t="s">
        <v>1140</v>
      </c>
      <c r="F30" s="3" t="s">
        <v>1140</v>
      </c>
      <c r="G30" s="3" t="s">
        <v>1498</v>
      </c>
      <c r="H30" s="3" t="s">
        <v>1499</v>
      </c>
      <c r="I30" s="3" t="s">
        <v>1500</v>
      </c>
      <c r="J30" s="3" t="s">
        <v>1501</v>
      </c>
      <c r="K30" s="3" t="s">
        <v>1140</v>
      </c>
      <c r="L30" s="3" t="s">
        <v>1502</v>
      </c>
      <c r="M30" s="3" t="s">
        <v>81</v>
      </c>
      <c r="N30" s="3"/>
    </row>
    <row r="34" spans="1:14">
      <c r="A34" s="71" t="s">
        <v>1503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</row>
    <row r="35" spans="1:14" ht="28">
      <c r="A35" s="3" t="s">
        <v>1504</v>
      </c>
      <c r="B35" s="3" t="s">
        <v>1505</v>
      </c>
      <c r="C35" s="3" t="s">
        <v>1506</v>
      </c>
      <c r="D35" s="3" t="s">
        <v>1361</v>
      </c>
      <c r="E35" s="3" t="s">
        <v>1140</v>
      </c>
      <c r="F35" s="3" t="s">
        <v>1135</v>
      </c>
      <c r="G35" s="3" t="s">
        <v>1507</v>
      </c>
      <c r="H35" s="3" t="s">
        <v>1508</v>
      </c>
      <c r="I35" s="3"/>
      <c r="J35" s="3" t="s">
        <v>1509</v>
      </c>
      <c r="K35" s="3" t="s">
        <v>1140</v>
      </c>
      <c r="L35" s="3" t="s">
        <v>1510</v>
      </c>
      <c r="M35" s="3" t="s">
        <v>45</v>
      </c>
      <c r="N35" s="3" t="s">
        <v>1511</v>
      </c>
    </row>
    <row r="36" spans="1:14" ht="28">
      <c r="A36" s="3" t="s">
        <v>1504</v>
      </c>
      <c r="B36" s="3" t="s">
        <v>1512</v>
      </c>
      <c r="C36" s="3" t="s">
        <v>1513</v>
      </c>
      <c r="D36" s="3" t="s">
        <v>1404</v>
      </c>
      <c r="E36" s="3" t="s">
        <v>1140</v>
      </c>
      <c r="F36" s="3" t="s">
        <v>1140</v>
      </c>
      <c r="G36" s="3" t="s">
        <v>1514</v>
      </c>
      <c r="H36" s="3" t="s">
        <v>1515</v>
      </c>
      <c r="I36" s="3"/>
      <c r="J36" s="3" t="s">
        <v>1516</v>
      </c>
      <c r="K36" s="3" t="s">
        <v>1140</v>
      </c>
      <c r="L36" s="3" t="s">
        <v>10</v>
      </c>
      <c r="M36" s="3" t="s">
        <v>45</v>
      </c>
      <c r="N36" s="3" t="s">
        <v>1517</v>
      </c>
    </row>
    <row r="37" spans="1:14" ht="28">
      <c r="A37" s="3" t="s">
        <v>1504</v>
      </c>
      <c r="B37" s="3" t="s">
        <v>1512</v>
      </c>
      <c r="C37" s="3" t="s">
        <v>1506</v>
      </c>
      <c r="D37" s="3" t="s">
        <v>1394</v>
      </c>
      <c r="E37" s="3" t="s">
        <v>1140</v>
      </c>
      <c r="F37" s="3" t="s">
        <v>1140</v>
      </c>
      <c r="G37" s="3" t="s">
        <v>1507</v>
      </c>
      <c r="H37" s="3" t="s">
        <v>1518</v>
      </c>
      <c r="I37" s="3" t="s">
        <v>1519</v>
      </c>
      <c r="J37" s="3" t="s">
        <v>1520</v>
      </c>
      <c r="K37" s="3" t="s">
        <v>1140</v>
      </c>
      <c r="L37" s="3" t="s">
        <v>1521</v>
      </c>
      <c r="M37" s="3" t="s">
        <v>45</v>
      </c>
      <c r="N37" s="3"/>
    </row>
    <row r="38" spans="1:14" ht="28">
      <c r="A38" s="3" t="s">
        <v>1504</v>
      </c>
      <c r="B38" s="3" t="s">
        <v>1512</v>
      </c>
      <c r="C38" s="3" t="s">
        <v>1371</v>
      </c>
      <c r="D38" s="3" t="s">
        <v>1394</v>
      </c>
      <c r="E38" s="3" t="s">
        <v>1522</v>
      </c>
      <c r="F38" s="3" t="s">
        <v>1140</v>
      </c>
      <c r="G38" s="3" t="s">
        <v>1399</v>
      </c>
      <c r="H38" s="3" t="s">
        <v>1523</v>
      </c>
      <c r="I38" s="3" t="s">
        <v>1401</v>
      </c>
      <c r="J38" s="3" t="s">
        <v>1524</v>
      </c>
      <c r="K38" s="3" t="s">
        <v>1140</v>
      </c>
      <c r="L38" s="3" t="s">
        <v>576</v>
      </c>
      <c r="M38" s="3" t="s">
        <v>45</v>
      </c>
      <c r="N38" s="3" t="s">
        <v>1525</v>
      </c>
    </row>
    <row r="39" spans="1:14">
      <c r="A39" s="3" t="s">
        <v>1504</v>
      </c>
      <c r="B39" s="3" t="s">
        <v>1512</v>
      </c>
      <c r="C39" s="3" t="s">
        <v>1526</v>
      </c>
      <c r="D39" s="3" t="s">
        <v>1415</v>
      </c>
      <c r="E39" s="3" t="s">
        <v>1140</v>
      </c>
      <c r="F39" s="3" t="s">
        <v>1140</v>
      </c>
      <c r="G39" s="3" t="s">
        <v>1527</v>
      </c>
      <c r="H39" s="3" t="s">
        <v>1417</v>
      </c>
      <c r="I39" s="3" t="s">
        <v>1528</v>
      </c>
      <c r="J39" s="3" t="s">
        <v>1529</v>
      </c>
      <c r="K39" s="3" t="s">
        <v>1140</v>
      </c>
      <c r="L39" s="3" t="s">
        <v>1530</v>
      </c>
      <c r="M39" s="3" t="s">
        <v>45</v>
      </c>
      <c r="N39" s="3"/>
    </row>
    <row r="40" spans="1:14">
      <c r="A40" s="3" t="s">
        <v>1504</v>
      </c>
      <c r="B40" s="3" t="s">
        <v>1512</v>
      </c>
      <c r="C40" s="3" t="s">
        <v>1531</v>
      </c>
      <c r="D40" s="3" t="s">
        <v>1415</v>
      </c>
      <c r="E40" s="3" t="s">
        <v>1140</v>
      </c>
      <c r="F40" s="3" t="s">
        <v>1140</v>
      </c>
      <c r="G40" s="3" t="s">
        <v>1440</v>
      </c>
      <c r="H40" s="3" t="s">
        <v>1417</v>
      </c>
      <c r="I40" s="3" t="s">
        <v>1532</v>
      </c>
      <c r="J40" s="3" t="s">
        <v>1533</v>
      </c>
      <c r="K40" s="3" t="s">
        <v>1140</v>
      </c>
      <c r="L40" s="3" t="s">
        <v>1534</v>
      </c>
      <c r="M40" s="3" t="s">
        <v>81</v>
      </c>
      <c r="N40" s="3"/>
    </row>
    <row r="41" spans="1:14">
      <c r="A41" s="3" t="s">
        <v>1504</v>
      </c>
      <c r="B41" s="3" t="s">
        <v>1512</v>
      </c>
      <c r="C41" s="3" t="s">
        <v>1535</v>
      </c>
      <c r="D41" s="3" t="s">
        <v>1415</v>
      </c>
      <c r="E41" s="3" t="s">
        <v>1140</v>
      </c>
      <c r="F41" s="3" t="s">
        <v>1135</v>
      </c>
      <c r="G41" s="3" t="s">
        <v>1536</v>
      </c>
      <c r="H41" s="3" t="s">
        <v>1493</v>
      </c>
      <c r="I41" s="3" t="s">
        <v>1537</v>
      </c>
      <c r="J41" s="3" t="s">
        <v>1538</v>
      </c>
      <c r="K41" s="3" t="s">
        <v>1140</v>
      </c>
      <c r="L41" s="3" t="s">
        <v>1539</v>
      </c>
      <c r="M41" s="3" t="s">
        <v>45</v>
      </c>
      <c r="N41" s="3"/>
    </row>
    <row r="44" spans="1:14">
      <c r="A44" s="72" t="s">
        <v>1540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</row>
    <row r="45" spans="1:14">
      <c r="A45" s="3" t="s">
        <v>1541</v>
      </c>
      <c r="B45" s="3" t="s">
        <v>1542</v>
      </c>
      <c r="C45" s="3" t="s">
        <v>1543</v>
      </c>
      <c r="D45" s="3" t="s">
        <v>1361</v>
      </c>
      <c r="E45" s="3" t="s">
        <v>1140</v>
      </c>
      <c r="F45" s="3" t="s">
        <v>1135</v>
      </c>
      <c r="G45" s="3" t="s">
        <v>1389</v>
      </c>
      <c r="H45" s="3" t="s">
        <v>1544</v>
      </c>
      <c r="I45" s="3" t="s">
        <v>1545</v>
      </c>
      <c r="J45" s="3" t="s">
        <v>1546</v>
      </c>
      <c r="K45" s="3" t="s">
        <v>1140</v>
      </c>
      <c r="L45" s="3" t="s">
        <v>1547</v>
      </c>
      <c r="M45" s="3" t="s">
        <v>45</v>
      </c>
      <c r="N45" s="3"/>
    </row>
    <row r="46" spans="1:14">
      <c r="A46" s="3" t="s">
        <v>1541</v>
      </c>
      <c r="B46" s="3" t="s">
        <v>1542</v>
      </c>
      <c r="C46" s="3" t="s">
        <v>1548</v>
      </c>
      <c r="D46" s="3" t="s">
        <v>1404</v>
      </c>
      <c r="E46" s="3" t="s">
        <v>1140</v>
      </c>
      <c r="F46" s="3" t="s">
        <v>1140</v>
      </c>
      <c r="G46" s="3" t="s">
        <v>1549</v>
      </c>
      <c r="H46" s="3" t="s">
        <v>1550</v>
      </c>
      <c r="I46" s="3"/>
      <c r="J46" s="3" t="s">
        <v>1551</v>
      </c>
      <c r="K46" s="3" t="s">
        <v>1140</v>
      </c>
      <c r="L46" s="3" t="s">
        <v>81</v>
      </c>
      <c r="M46" s="3" t="s">
        <v>81</v>
      </c>
      <c r="N46" s="3"/>
    </row>
    <row r="47" spans="1:14">
      <c r="A47" s="3" t="s">
        <v>1541</v>
      </c>
      <c r="B47" s="3" t="s">
        <v>1542</v>
      </c>
      <c r="C47" s="3" t="s">
        <v>1552</v>
      </c>
      <c r="D47" s="3" t="s">
        <v>1404</v>
      </c>
      <c r="E47" s="3" t="s">
        <v>1140</v>
      </c>
      <c r="F47" s="3" t="s">
        <v>1140</v>
      </c>
      <c r="G47" s="3" t="s">
        <v>1553</v>
      </c>
      <c r="H47" s="3" t="s">
        <v>1550</v>
      </c>
      <c r="I47" s="3"/>
      <c r="J47" s="3" t="s">
        <v>1551</v>
      </c>
      <c r="K47" s="3" t="s">
        <v>1140</v>
      </c>
      <c r="L47" s="3" t="s">
        <v>381</v>
      </c>
      <c r="M47" s="3" t="s">
        <v>45</v>
      </c>
      <c r="N47" s="3"/>
    </row>
    <row r="48" spans="1:14">
      <c r="A48" s="3" t="s">
        <v>1541</v>
      </c>
      <c r="B48" s="3" t="s">
        <v>1542</v>
      </c>
      <c r="C48" s="3" t="s">
        <v>1554</v>
      </c>
      <c r="D48" s="3" t="s">
        <v>1361</v>
      </c>
      <c r="E48" s="3" t="s">
        <v>1140</v>
      </c>
      <c r="F48" s="3" t="s">
        <v>1140</v>
      </c>
      <c r="G48" s="3" t="s">
        <v>1555</v>
      </c>
      <c r="H48" s="3" t="s">
        <v>1556</v>
      </c>
      <c r="I48" s="3"/>
      <c r="J48" s="3" t="s">
        <v>1557</v>
      </c>
      <c r="K48" s="3" t="s">
        <v>1140</v>
      </c>
      <c r="L48" s="3" t="s">
        <v>1558</v>
      </c>
      <c r="M48" s="3" t="s">
        <v>45</v>
      </c>
      <c r="N48" s="3"/>
    </row>
    <row r="49" spans="1:14" ht="28">
      <c r="A49" s="3" t="s">
        <v>1541</v>
      </c>
      <c r="B49" s="3" t="s">
        <v>1542</v>
      </c>
      <c r="C49" s="3" t="s">
        <v>1559</v>
      </c>
      <c r="D49" s="3" t="s">
        <v>1404</v>
      </c>
      <c r="E49" s="3" t="s">
        <v>1140</v>
      </c>
      <c r="F49" s="3" t="s">
        <v>1140</v>
      </c>
      <c r="G49" s="3" t="s">
        <v>1427</v>
      </c>
      <c r="H49" s="3" t="s">
        <v>1560</v>
      </c>
      <c r="I49" s="3" t="s">
        <v>1561</v>
      </c>
      <c r="J49" s="3" t="s">
        <v>1562</v>
      </c>
      <c r="K49" s="3" t="s">
        <v>1140</v>
      </c>
      <c r="L49" s="3" t="s">
        <v>1563</v>
      </c>
      <c r="M49" s="3" t="s">
        <v>45</v>
      </c>
      <c r="N49" s="3"/>
    </row>
    <row r="50" spans="1:14">
      <c r="A50" s="3" t="s">
        <v>1541</v>
      </c>
      <c r="B50" s="3" t="s">
        <v>1564</v>
      </c>
      <c r="C50" s="3" t="s">
        <v>1565</v>
      </c>
      <c r="D50" s="3" t="s">
        <v>1566</v>
      </c>
      <c r="E50" s="3" t="s">
        <v>1140</v>
      </c>
      <c r="F50" s="3" t="s">
        <v>1135</v>
      </c>
      <c r="G50" s="3" t="s">
        <v>1567</v>
      </c>
      <c r="H50" s="3" t="s">
        <v>1568</v>
      </c>
      <c r="I50" s="3" t="s">
        <v>1569</v>
      </c>
      <c r="J50" s="3" t="s">
        <v>1570</v>
      </c>
      <c r="K50" s="3" t="s">
        <v>1140</v>
      </c>
      <c r="L50" s="3"/>
      <c r="M50" s="3" t="s">
        <v>81</v>
      </c>
      <c r="N50" s="3"/>
    </row>
    <row r="51" spans="1:14">
      <c r="A51" s="3" t="s">
        <v>1541</v>
      </c>
      <c r="B51" s="3" t="s">
        <v>1564</v>
      </c>
      <c r="C51" s="3" t="s">
        <v>1571</v>
      </c>
      <c r="D51" s="3" t="s">
        <v>1394</v>
      </c>
      <c r="E51" s="3" t="s">
        <v>1140</v>
      </c>
      <c r="F51" s="3" t="s">
        <v>1135</v>
      </c>
      <c r="G51" s="3" t="s">
        <v>1572</v>
      </c>
      <c r="H51" s="3" t="s">
        <v>1573</v>
      </c>
      <c r="I51" s="3" t="s">
        <v>1574</v>
      </c>
      <c r="J51" s="3" t="s">
        <v>1570</v>
      </c>
      <c r="K51" s="3" t="s">
        <v>1140</v>
      </c>
      <c r="L51" s="3" t="s">
        <v>1575</v>
      </c>
      <c r="M51" s="3" t="s">
        <v>45</v>
      </c>
      <c r="N51" s="3"/>
    </row>
    <row r="52" spans="1:14">
      <c r="A52" s="3" t="s">
        <v>1541</v>
      </c>
      <c r="B52" s="3" t="s">
        <v>1564</v>
      </c>
      <c r="C52" s="3" t="s">
        <v>1576</v>
      </c>
      <c r="D52" s="3" t="s">
        <v>1577</v>
      </c>
      <c r="E52" s="3" t="s">
        <v>1140</v>
      </c>
      <c r="F52" s="3" t="s">
        <v>1135</v>
      </c>
      <c r="G52" s="3" t="s">
        <v>1389</v>
      </c>
      <c r="H52" s="3" t="s">
        <v>1578</v>
      </c>
      <c r="I52" s="3" t="s">
        <v>1574</v>
      </c>
      <c r="J52" s="3" t="s">
        <v>1570</v>
      </c>
      <c r="K52" s="3" t="s">
        <v>1140</v>
      </c>
      <c r="L52" s="3" t="s">
        <v>1579</v>
      </c>
      <c r="M52" s="3" t="s">
        <v>45</v>
      </c>
      <c r="N52" s="3"/>
    </row>
    <row r="55" spans="1:14">
      <c r="A55" s="73" t="s">
        <v>1580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</row>
    <row r="56" spans="1:14" ht="28">
      <c r="A56" s="3" t="s">
        <v>1352</v>
      </c>
      <c r="B56" s="3" t="s">
        <v>1353</v>
      </c>
      <c r="C56" s="3" t="s">
        <v>69</v>
      </c>
      <c r="D56" s="3" t="s">
        <v>1581</v>
      </c>
      <c r="E56" s="3" t="s">
        <v>1140</v>
      </c>
      <c r="F56" s="3" t="s">
        <v>1135</v>
      </c>
      <c r="G56" s="3" t="s">
        <v>1356</v>
      </c>
      <c r="H56" s="3" t="s">
        <v>1582</v>
      </c>
      <c r="I56" s="3"/>
      <c r="J56" s="3" t="s">
        <v>1583</v>
      </c>
      <c r="K56" s="3" t="s">
        <v>1140</v>
      </c>
      <c r="L56" s="3" t="s">
        <v>69</v>
      </c>
      <c r="M56" s="3" t="s">
        <v>45</v>
      </c>
      <c r="N56" s="3" t="s">
        <v>1584</v>
      </c>
    </row>
    <row r="57" spans="1:14" ht="28">
      <c r="A57" s="3" t="s">
        <v>1352</v>
      </c>
      <c r="B57" s="3" t="s">
        <v>1370</v>
      </c>
      <c r="C57" s="3" t="s">
        <v>1585</v>
      </c>
      <c r="D57" s="3" t="s">
        <v>1361</v>
      </c>
      <c r="E57" s="3" t="s">
        <v>1140</v>
      </c>
      <c r="F57" s="3" t="s">
        <v>1135</v>
      </c>
      <c r="G57" s="3" t="s">
        <v>1586</v>
      </c>
      <c r="H57" s="3" t="s">
        <v>1587</v>
      </c>
      <c r="I57" s="3"/>
      <c r="J57" s="3" t="s">
        <v>1588</v>
      </c>
      <c r="K57" s="3" t="s">
        <v>1140</v>
      </c>
      <c r="L57" s="3" t="s">
        <v>816</v>
      </c>
      <c r="M57" s="3" t="s">
        <v>45</v>
      </c>
      <c r="N57" s="3" t="s">
        <v>1589</v>
      </c>
    </row>
    <row r="58" spans="1:14">
      <c r="A58" s="3" t="s">
        <v>1504</v>
      </c>
      <c r="B58" s="3" t="s">
        <v>1505</v>
      </c>
      <c r="C58" s="3" t="s">
        <v>1590</v>
      </c>
      <c r="D58" s="3" t="s">
        <v>1591</v>
      </c>
      <c r="E58" s="3" t="s">
        <v>1140</v>
      </c>
      <c r="F58" s="3" t="s">
        <v>1135</v>
      </c>
      <c r="G58" s="3" t="s">
        <v>1507</v>
      </c>
      <c r="H58" s="3" t="s">
        <v>1592</v>
      </c>
      <c r="I58" s="3"/>
      <c r="J58" s="3" t="s">
        <v>1593</v>
      </c>
      <c r="K58" s="3" t="s">
        <v>1140</v>
      </c>
      <c r="L58" s="3" t="s">
        <v>1590</v>
      </c>
      <c r="M58" s="3" t="s">
        <v>45</v>
      </c>
      <c r="N58" s="3"/>
    </row>
  </sheetData>
  <mergeCells count="5">
    <mergeCell ref="A1:N1"/>
    <mergeCell ref="A2:N2"/>
    <mergeCell ref="A34:N34"/>
    <mergeCell ref="A44:N44"/>
    <mergeCell ref="A55:N5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0"/>
  <sheetViews>
    <sheetView topLeftCell="A6" workbookViewId="0">
      <selection sqref="A1:L1"/>
    </sheetView>
  </sheetViews>
  <sheetFormatPr baseColWidth="10" defaultColWidth="8.6640625" defaultRowHeight="14"/>
  <cols>
    <col min="1" max="1" width="12" customWidth="1"/>
    <col min="2" max="2" width="28" customWidth="1"/>
    <col min="3" max="4" width="42" customWidth="1"/>
    <col min="5" max="5" width="18" customWidth="1"/>
    <col min="6" max="6" width="32" customWidth="1"/>
    <col min="7" max="7" width="26" customWidth="1"/>
    <col min="8" max="8" width="30" customWidth="1"/>
    <col min="9" max="9" width="26" customWidth="1"/>
    <col min="10" max="10" width="24" customWidth="1"/>
    <col min="11" max="11" width="12" customWidth="1"/>
    <col min="12" max="12" width="34" customWidth="1"/>
  </cols>
  <sheetData>
    <row r="1" spans="1:12" ht="20" customHeight="1">
      <c r="A1" s="67" t="s">
        <v>1594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22.65" customHeight="1">
      <c r="A2" s="68" t="s">
        <v>1595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4" spans="1:12" ht="22.65" customHeight="1">
      <c r="A4" s="35" t="s">
        <v>1596</v>
      </c>
      <c r="B4" s="35" t="s">
        <v>1098</v>
      </c>
      <c r="C4" s="35" t="s">
        <v>1597</v>
      </c>
      <c r="D4" s="35" t="s">
        <v>1598</v>
      </c>
      <c r="E4" s="35" t="s">
        <v>1216</v>
      </c>
      <c r="F4" s="35" t="s">
        <v>1599</v>
      </c>
      <c r="G4" s="35" t="s">
        <v>1600</v>
      </c>
      <c r="H4" s="35" t="s">
        <v>1601</v>
      </c>
      <c r="I4" s="35" t="s">
        <v>1602</v>
      </c>
      <c r="J4" s="35" t="s">
        <v>1238</v>
      </c>
      <c r="K4" s="35" t="s">
        <v>75</v>
      </c>
      <c r="L4" s="35" t="s">
        <v>903</v>
      </c>
    </row>
    <row r="5" spans="1:12" ht="28">
      <c r="A5" s="3" t="s">
        <v>1603</v>
      </c>
      <c r="B5" s="3" t="s">
        <v>1443</v>
      </c>
      <c r="C5" s="3" t="s">
        <v>1604</v>
      </c>
      <c r="D5" s="3" t="s">
        <v>1605</v>
      </c>
      <c r="E5" s="3" t="s">
        <v>1606</v>
      </c>
      <c r="F5" s="3" t="s">
        <v>1607</v>
      </c>
      <c r="G5" s="3" t="s">
        <v>1608</v>
      </c>
      <c r="H5" s="3" t="s">
        <v>1609</v>
      </c>
      <c r="I5" s="3" t="s">
        <v>1437</v>
      </c>
      <c r="J5" s="3" t="s">
        <v>1610</v>
      </c>
      <c r="K5" s="3" t="s">
        <v>45</v>
      </c>
      <c r="L5" s="3" t="s">
        <v>1420</v>
      </c>
    </row>
    <row r="6" spans="1:12" ht="28">
      <c r="A6" s="3" t="s">
        <v>1611</v>
      </c>
      <c r="B6" s="3" t="s">
        <v>1612</v>
      </c>
      <c r="C6" s="3" t="s">
        <v>1613</v>
      </c>
      <c r="D6" s="3" t="s">
        <v>1614</v>
      </c>
      <c r="E6" s="3" t="s">
        <v>1099</v>
      </c>
      <c r="F6" s="3" t="s">
        <v>1615</v>
      </c>
      <c r="G6" s="3" t="s">
        <v>1616</v>
      </c>
      <c r="H6" s="3" t="s">
        <v>1617</v>
      </c>
      <c r="I6" s="3" t="s">
        <v>1618</v>
      </c>
      <c r="J6" s="3" t="s">
        <v>1619</v>
      </c>
      <c r="K6" s="3" t="s">
        <v>45</v>
      </c>
      <c r="L6" s="3"/>
    </row>
    <row r="7" spans="1:12" ht="28">
      <c r="A7" s="3" t="s">
        <v>1620</v>
      </c>
      <c r="B7" s="3" t="s">
        <v>1489</v>
      </c>
      <c r="C7" s="3" t="s">
        <v>1621</v>
      </c>
      <c r="D7" s="3" t="s">
        <v>1622</v>
      </c>
      <c r="E7" s="3" t="s">
        <v>1606</v>
      </c>
      <c r="F7" s="3" t="s">
        <v>1243</v>
      </c>
      <c r="G7" s="3" t="s">
        <v>1623</v>
      </c>
      <c r="H7" s="3" t="s">
        <v>1624</v>
      </c>
      <c r="I7" s="3" t="s">
        <v>1240</v>
      </c>
      <c r="J7" s="3" t="s">
        <v>1625</v>
      </c>
      <c r="K7" s="3" t="s">
        <v>45</v>
      </c>
      <c r="L7" s="3"/>
    </row>
    <row r="8" spans="1:12" ht="28">
      <c r="A8" s="3" t="s">
        <v>1626</v>
      </c>
      <c r="B8" s="3" t="s">
        <v>1627</v>
      </c>
      <c r="C8" s="3" t="s">
        <v>1628</v>
      </c>
      <c r="D8" s="3" t="s">
        <v>1629</v>
      </c>
      <c r="E8" s="3" t="s">
        <v>1099</v>
      </c>
      <c r="F8" s="3" t="s">
        <v>897</v>
      </c>
      <c r="G8" s="3" t="s">
        <v>1630</v>
      </c>
      <c r="H8" s="3" t="s">
        <v>1631</v>
      </c>
      <c r="I8" s="3" t="s">
        <v>1632</v>
      </c>
      <c r="J8" s="3" t="s">
        <v>1633</v>
      </c>
      <c r="K8" s="3" t="s">
        <v>45</v>
      </c>
      <c r="L8" s="3"/>
    </row>
    <row r="9" spans="1:12" ht="28">
      <c r="A9" s="3" t="s">
        <v>1634</v>
      </c>
      <c r="B9" s="3" t="s">
        <v>1195</v>
      </c>
      <c r="C9" s="3" t="s">
        <v>1635</v>
      </c>
      <c r="D9" s="3" t="s">
        <v>1636</v>
      </c>
      <c r="E9" s="3" t="s">
        <v>1099</v>
      </c>
      <c r="F9" s="3" t="s">
        <v>1243</v>
      </c>
      <c r="G9" s="3" t="s">
        <v>1637</v>
      </c>
      <c r="H9" s="3" t="s">
        <v>1638</v>
      </c>
      <c r="I9" s="3" t="s">
        <v>1639</v>
      </c>
      <c r="J9" s="3" t="s">
        <v>1640</v>
      </c>
      <c r="K9" s="3" t="s">
        <v>45</v>
      </c>
      <c r="L9" s="3"/>
    </row>
    <row r="10" spans="1:12" ht="28">
      <c r="A10" s="3" t="s">
        <v>1641</v>
      </c>
      <c r="B10" s="3" t="s">
        <v>1642</v>
      </c>
      <c r="C10" s="3" t="s">
        <v>1643</v>
      </c>
      <c r="D10" s="3" t="s">
        <v>1644</v>
      </c>
      <c r="E10" s="3" t="s">
        <v>1099</v>
      </c>
      <c r="F10" s="3" t="s">
        <v>1243</v>
      </c>
      <c r="G10" s="3" t="s">
        <v>1645</v>
      </c>
      <c r="H10" s="3" t="s">
        <v>1646</v>
      </c>
      <c r="I10" s="3" t="s">
        <v>1252</v>
      </c>
      <c r="J10" s="3" t="s">
        <v>1647</v>
      </c>
      <c r="K10" s="3" t="s">
        <v>81</v>
      </c>
      <c r="L10" s="3"/>
    </row>
    <row r="11" spans="1:12">
      <c r="A11" s="3" t="s">
        <v>1648</v>
      </c>
      <c r="B11" s="3" t="s">
        <v>1649</v>
      </c>
      <c r="C11" s="3" t="s">
        <v>1650</v>
      </c>
      <c r="D11" s="3" t="s">
        <v>1651</v>
      </c>
      <c r="E11" s="3" t="s">
        <v>1652</v>
      </c>
      <c r="F11" s="3" t="s">
        <v>1653</v>
      </c>
      <c r="G11" s="3" t="s">
        <v>1654</v>
      </c>
      <c r="H11" s="3" t="s">
        <v>1655</v>
      </c>
      <c r="I11" s="3" t="s">
        <v>1259</v>
      </c>
      <c r="J11" s="3" t="s">
        <v>1656</v>
      </c>
      <c r="K11" s="3" t="s">
        <v>45</v>
      </c>
      <c r="L11" s="3"/>
    </row>
    <row r="12" spans="1:12" ht="28">
      <c r="A12" s="3" t="s">
        <v>1657</v>
      </c>
      <c r="B12" s="3" t="s">
        <v>1658</v>
      </c>
      <c r="C12" s="3" t="s">
        <v>1659</v>
      </c>
      <c r="D12" s="3" t="s">
        <v>1660</v>
      </c>
      <c r="E12" s="3" t="s">
        <v>1652</v>
      </c>
      <c r="F12" s="3" t="s">
        <v>1661</v>
      </c>
      <c r="G12" s="3" t="s">
        <v>1662</v>
      </c>
      <c r="H12" s="3" t="s">
        <v>1663</v>
      </c>
      <c r="I12" s="3" t="s">
        <v>1244</v>
      </c>
      <c r="J12" s="3" t="s">
        <v>1664</v>
      </c>
      <c r="K12" s="3" t="s">
        <v>81</v>
      </c>
      <c r="L12" s="3"/>
    </row>
    <row r="13" spans="1:12" ht="28">
      <c r="A13" s="3" t="s">
        <v>1665</v>
      </c>
      <c r="B13" s="3" t="s">
        <v>1666</v>
      </c>
      <c r="C13" s="3" t="s">
        <v>1667</v>
      </c>
      <c r="D13" s="3" t="s">
        <v>1668</v>
      </c>
      <c r="E13" s="3" t="s">
        <v>1099</v>
      </c>
      <c r="F13" s="3" t="s">
        <v>1261</v>
      </c>
      <c r="G13" s="3" t="s">
        <v>1669</v>
      </c>
      <c r="H13" s="3" t="s">
        <v>1670</v>
      </c>
      <c r="I13" s="3" t="s">
        <v>1437</v>
      </c>
      <c r="J13" s="3" t="s">
        <v>1671</v>
      </c>
      <c r="K13" s="3" t="s">
        <v>81</v>
      </c>
      <c r="L13" s="3"/>
    </row>
    <row r="14" spans="1:12">
      <c r="A14" s="3" t="s">
        <v>1672</v>
      </c>
      <c r="B14" s="3" t="s">
        <v>1673</v>
      </c>
      <c r="C14" s="3" t="s">
        <v>1674</v>
      </c>
      <c r="D14" s="3" t="s">
        <v>1675</v>
      </c>
      <c r="E14" s="3" t="s">
        <v>1099</v>
      </c>
      <c r="F14" s="3" t="s">
        <v>1243</v>
      </c>
      <c r="G14" s="3" t="s">
        <v>1676</v>
      </c>
      <c r="H14" s="3" t="s">
        <v>1677</v>
      </c>
      <c r="I14" s="3" t="s">
        <v>1244</v>
      </c>
      <c r="J14" s="3" t="s">
        <v>1678</v>
      </c>
      <c r="K14" s="3" t="s">
        <v>81</v>
      </c>
      <c r="L14" s="3"/>
    </row>
    <row r="15" spans="1:12">
      <c r="A15" s="3" t="s">
        <v>1679</v>
      </c>
      <c r="B15" s="3" t="s">
        <v>1680</v>
      </c>
      <c r="C15" s="3" t="s">
        <v>1681</v>
      </c>
      <c r="D15" s="3" t="s">
        <v>1682</v>
      </c>
      <c r="E15" s="3" t="s">
        <v>1099</v>
      </c>
      <c r="F15" s="3" t="s">
        <v>1261</v>
      </c>
      <c r="G15" s="3" t="s">
        <v>1683</v>
      </c>
      <c r="H15" s="3" t="s">
        <v>1684</v>
      </c>
      <c r="I15" s="3" t="s">
        <v>1685</v>
      </c>
      <c r="J15" s="3" t="s">
        <v>1686</v>
      </c>
      <c r="K15" s="3" t="s">
        <v>45</v>
      </c>
      <c r="L15" s="3"/>
    </row>
    <row r="16" spans="1:12">
      <c r="A16" s="3" t="s">
        <v>1687</v>
      </c>
      <c r="B16" s="3" t="s">
        <v>1688</v>
      </c>
      <c r="C16" s="3" t="s">
        <v>1689</v>
      </c>
      <c r="D16" s="3" t="s">
        <v>1690</v>
      </c>
      <c r="E16" s="3" t="s">
        <v>1099</v>
      </c>
      <c r="F16" s="3" t="s">
        <v>1691</v>
      </c>
      <c r="G16" s="3" t="s">
        <v>1692</v>
      </c>
      <c r="H16" s="3" t="s">
        <v>1693</v>
      </c>
      <c r="I16" s="3" t="s">
        <v>1244</v>
      </c>
      <c r="J16" s="3" t="s">
        <v>1694</v>
      </c>
      <c r="K16" s="3" t="s">
        <v>1384</v>
      </c>
      <c r="L16" s="3"/>
    </row>
    <row r="17" spans="1:12">
      <c r="A17" s="3" t="s">
        <v>1695</v>
      </c>
      <c r="B17" s="3" t="s">
        <v>1485</v>
      </c>
      <c r="C17" s="3" t="s">
        <v>1696</v>
      </c>
      <c r="D17" s="3" t="s">
        <v>1697</v>
      </c>
      <c r="E17" s="3" t="s">
        <v>1099</v>
      </c>
      <c r="F17" s="3" t="s">
        <v>1698</v>
      </c>
      <c r="G17" s="3" t="s">
        <v>1699</v>
      </c>
      <c r="H17" s="3" t="s">
        <v>1700</v>
      </c>
      <c r="I17" s="3" t="s">
        <v>1246</v>
      </c>
      <c r="J17" s="3" t="s">
        <v>1701</v>
      </c>
      <c r="K17" s="3" t="s">
        <v>81</v>
      </c>
      <c r="L17" s="3"/>
    </row>
    <row r="18" spans="1:12" ht="28">
      <c r="A18" s="3" t="s">
        <v>1702</v>
      </c>
      <c r="B18" s="3" t="s">
        <v>1129</v>
      </c>
      <c r="C18" s="3" t="s">
        <v>1703</v>
      </c>
      <c r="D18" s="3" t="s">
        <v>1704</v>
      </c>
      <c r="E18" s="3" t="s">
        <v>1099</v>
      </c>
      <c r="F18" s="3" t="s">
        <v>1705</v>
      </c>
      <c r="G18" s="3" t="s">
        <v>1706</v>
      </c>
      <c r="H18" s="3" t="s">
        <v>1707</v>
      </c>
      <c r="I18" s="3" t="s">
        <v>1708</v>
      </c>
      <c r="J18" s="3" t="s">
        <v>1709</v>
      </c>
      <c r="K18" s="3" t="s">
        <v>45</v>
      </c>
      <c r="L18" s="3"/>
    </row>
    <row r="19" spans="1:12">
      <c r="A19" s="3" t="s">
        <v>1710</v>
      </c>
      <c r="B19" s="3" t="s">
        <v>1711</v>
      </c>
      <c r="C19" s="3" t="s">
        <v>1712</v>
      </c>
      <c r="D19" s="3" t="s">
        <v>1713</v>
      </c>
      <c r="E19" s="3" t="s">
        <v>1099</v>
      </c>
      <c r="F19" s="3" t="s">
        <v>1714</v>
      </c>
      <c r="G19" s="3" t="s">
        <v>1715</v>
      </c>
      <c r="H19" s="3" t="s">
        <v>1677</v>
      </c>
      <c r="I19" s="3" t="s">
        <v>1259</v>
      </c>
      <c r="J19" s="3" t="s">
        <v>1716</v>
      </c>
      <c r="K19" s="3" t="s">
        <v>81</v>
      </c>
      <c r="L19" s="3"/>
    </row>
    <row r="20" spans="1:12" ht="28">
      <c r="A20" s="3" t="s">
        <v>1717</v>
      </c>
      <c r="B20" s="3" t="s">
        <v>1718</v>
      </c>
      <c r="C20" s="3" t="s">
        <v>1719</v>
      </c>
      <c r="D20" s="3" t="s">
        <v>1720</v>
      </c>
      <c r="E20" s="3" t="s">
        <v>1099</v>
      </c>
      <c r="F20" s="3" t="s">
        <v>1721</v>
      </c>
      <c r="G20" s="3" t="s">
        <v>1637</v>
      </c>
      <c r="H20" s="3" t="s">
        <v>1722</v>
      </c>
      <c r="I20" s="3" t="s">
        <v>1259</v>
      </c>
      <c r="J20" s="3" t="s">
        <v>1723</v>
      </c>
      <c r="K20" s="3" t="s">
        <v>1384</v>
      </c>
      <c r="L20" s="3"/>
    </row>
  </sheetData>
  <mergeCells count="2">
    <mergeCell ref="A1:L1"/>
    <mergeCell ref="A2:L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43"/>
  <sheetViews>
    <sheetView workbookViewId="0">
      <selection sqref="A1:O1"/>
    </sheetView>
  </sheetViews>
  <sheetFormatPr baseColWidth="10" defaultColWidth="8.6640625" defaultRowHeight="14"/>
  <cols>
    <col min="1" max="1" width="13" customWidth="1"/>
    <col min="2" max="2" width="14" customWidth="1"/>
    <col min="3" max="3" width="42" customWidth="1"/>
    <col min="4" max="5" width="12" customWidth="1"/>
    <col min="6" max="6" width="20" customWidth="1"/>
    <col min="7" max="7" width="18" customWidth="1"/>
    <col min="8" max="8" width="16" customWidth="1"/>
    <col min="9" max="11" width="18" customWidth="1"/>
    <col min="12" max="13" width="22" customWidth="1"/>
    <col min="14" max="14" width="20" customWidth="1"/>
    <col min="15" max="15" width="19" customWidth="1"/>
    <col min="16" max="16" width="22" customWidth="1"/>
    <col min="17" max="17" width="24" customWidth="1"/>
    <col min="18" max="18" width="20" customWidth="1"/>
    <col min="19" max="19" width="18" customWidth="1"/>
    <col min="20" max="20" width="20" customWidth="1"/>
    <col min="21" max="21" width="22" customWidth="1"/>
    <col min="22" max="22" width="14" customWidth="1"/>
  </cols>
  <sheetData>
    <row r="1" spans="1:22" ht="20" customHeight="1">
      <c r="A1" s="74" t="s">
        <v>1724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38"/>
      <c r="Q1" s="38"/>
      <c r="R1" s="38"/>
      <c r="S1" s="38"/>
      <c r="T1" s="38"/>
      <c r="U1" s="38"/>
      <c r="V1" s="38"/>
    </row>
    <row r="2" spans="1:22" ht="24" customHeight="1">
      <c r="A2" s="75" t="s">
        <v>1725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39"/>
      <c r="Q2" s="39"/>
      <c r="R2" s="39"/>
      <c r="S2" s="39"/>
      <c r="T2" s="39"/>
      <c r="U2" s="39"/>
      <c r="V2" s="39"/>
    </row>
    <row r="4" spans="1:22" ht="24" customHeight="1">
      <c r="A4" s="40" t="s">
        <v>897</v>
      </c>
      <c r="B4" s="40" t="s">
        <v>1145</v>
      </c>
      <c r="C4" s="40" t="s">
        <v>1146</v>
      </c>
      <c r="D4" s="40" t="s">
        <v>1726</v>
      </c>
      <c r="E4" s="40" t="s">
        <v>1727</v>
      </c>
      <c r="F4" s="40" t="s">
        <v>1728</v>
      </c>
      <c r="G4" s="40" t="s">
        <v>1151</v>
      </c>
      <c r="H4" s="40" t="s">
        <v>1729</v>
      </c>
      <c r="I4" s="40" t="s">
        <v>1730</v>
      </c>
      <c r="J4" s="40" t="s">
        <v>1731</v>
      </c>
      <c r="K4" s="40" t="s">
        <v>1732</v>
      </c>
      <c r="L4" s="40" t="s">
        <v>1733</v>
      </c>
      <c r="M4" s="40" t="s">
        <v>1734</v>
      </c>
      <c r="N4" s="40" t="s">
        <v>1735</v>
      </c>
      <c r="O4" s="40" t="s">
        <v>1736</v>
      </c>
      <c r="P4" s="40" t="s">
        <v>1737</v>
      </c>
      <c r="Q4" s="40" t="s">
        <v>1738</v>
      </c>
      <c r="R4" s="40" t="s">
        <v>1739</v>
      </c>
      <c r="S4" s="40" t="s">
        <v>1740</v>
      </c>
      <c r="T4" s="40" t="s">
        <v>1741</v>
      </c>
      <c r="U4" s="40" t="s">
        <v>1742</v>
      </c>
      <c r="V4" s="40" t="s">
        <v>1267</v>
      </c>
    </row>
    <row r="5" spans="1:22">
      <c r="A5" s="3" t="s">
        <v>1027</v>
      </c>
      <c r="B5" s="3" t="s">
        <v>1167</v>
      </c>
      <c r="C5" s="22" t="s">
        <v>1168</v>
      </c>
      <c r="D5" s="17">
        <v>4</v>
      </c>
      <c r="E5" s="17">
        <v>3</v>
      </c>
      <c r="F5" s="36">
        <f t="shared" ref="F5:F40" si="0">IFERROR(E5/D5,0)</f>
        <v>0.75</v>
      </c>
      <c r="G5" s="21">
        <v>35</v>
      </c>
      <c r="H5" s="21">
        <f t="shared" ref="H5:H40" si="1">IFERROR(K5/E5,0)</f>
        <v>20</v>
      </c>
      <c r="I5" s="18">
        <f t="shared" ref="I5:I40" si="2">IFERROR(H5/G5-1,0)</f>
        <v>-0.4285714285714286</v>
      </c>
      <c r="J5" s="21">
        <v>140</v>
      </c>
      <c r="K5" s="16">
        <v>60</v>
      </c>
      <c r="L5" s="36">
        <f t="shared" ref="L5:L40" si="3">IFERROR(K5/J5,0)</f>
        <v>0.42857142857142855</v>
      </c>
      <c r="M5" s="18">
        <v>0.85</v>
      </c>
      <c r="N5" s="16">
        <v>0</v>
      </c>
      <c r="O5" s="21">
        <f t="shared" ref="O5:O40" si="4">K5-N5</f>
        <v>60</v>
      </c>
      <c r="P5" s="21">
        <v>119</v>
      </c>
      <c r="Q5" s="36">
        <f t="shared" ref="Q5:Q40" si="5">IFERROR(O5/P5,0)</f>
        <v>0.50420168067226889</v>
      </c>
      <c r="R5" s="21">
        <f>IFERROR(J5/SUM($J$5:$J$10)*SUM('07_Gastos_Fijos'!$D$5:$D$9),0)</f>
        <v>102.5</v>
      </c>
      <c r="S5" s="16">
        <v>0</v>
      </c>
      <c r="T5" s="21">
        <f t="shared" ref="T5:T40" si="6">O5-R5-S5</f>
        <v>-42.5</v>
      </c>
      <c r="U5" s="36">
        <f t="shared" ref="U5:U40" si="7">IFERROR(T5/K5,0)</f>
        <v>-0.70833333333333337</v>
      </c>
      <c r="V5" s="3" t="str">
        <f t="shared" ref="V5:V40" si="8">IF(L5&gt;=1,"VERDE",IF(L5&gt;=0.85,"AMARILLO","ROJO"))</f>
        <v>ROJO</v>
      </c>
    </row>
    <row r="6" spans="1:22">
      <c r="A6" s="3" t="s">
        <v>1027</v>
      </c>
      <c r="B6" s="3" t="s">
        <v>1170</v>
      </c>
      <c r="C6" s="22" t="s">
        <v>1171</v>
      </c>
      <c r="D6" s="17">
        <v>4</v>
      </c>
      <c r="E6" s="17">
        <v>4</v>
      </c>
      <c r="F6" s="36">
        <f t="shared" si="0"/>
        <v>1</v>
      </c>
      <c r="G6" s="21">
        <v>85</v>
      </c>
      <c r="H6" s="21">
        <f t="shared" si="1"/>
        <v>60</v>
      </c>
      <c r="I6" s="18">
        <f t="shared" si="2"/>
        <v>-0.29411764705882348</v>
      </c>
      <c r="J6" s="21">
        <v>340</v>
      </c>
      <c r="K6" s="16">
        <v>240</v>
      </c>
      <c r="L6" s="36">
        <f t="shared" si="3"/>
        <v>0.70588235294117652</v>
      </c>
      <c r="M6" s="18">
        <v>0.9</v>
      </c>
      <c r="N6" s="16">
        <v>0</v>
      </c>
      <c r="O6" s="21">
        <f t="shared" si="4"/>
        <v>240</v>
      </c>
      <c r="P6" s="21">
        <v>306</v>
      </c>
      <c r="Q6" s="36">
        <f t="shared" si="5"/>
        <v>0.78431372549019607</v>
      </c>
      <c r="R6" s="21">
        <f>IFERROR(J6/SUM($J$5:$J$10)*SUM('07_Gastos_Fijos'!$D$5:$D$9),0)</f>
        <v>248.92857142857142</v>
      </c>
      <c r="S6" s="16">
        <v>0</v>
      </c>
      <c r="T6" s="21">
        <f t="shared" si="6"/>
        <v>-8.9285714285714164</v>
      </c>
      <c r="U6" s="36">
        <f t="shared" si="7"/>
        <v>-3.7202380952380903E-2</v>
      </c>
      <c r="V6" s="3" t="str">
        <f t="shared" si="8"/>
        <v>ROJO</v>
      </c>
    </row>
    <row r="7" spans="1:22">
      <c r="A7" s="3" t="s">
        <v>1027</v>
      </c>
      <c r="B7" s="3" t="s">
        <v>1173</v>
      </c>
      <c r="C7" s="22" t="s">
        <v>1174</v>
      </c>
      <c r="D7" s="17">
        <v>5</v>
      </c>
      <c r="E7" s="17">
        <v>1</v>
      </c>
      <c r="F7" s="36">
        <f t="shared" si="0"/>
        <v>0.2</v>
      </c>
      <c r="G7" s="21">
        <v>300</v>
      </c>
      <c r="H7" s="21">
        <f t="shared" si="1"/>
        <v>50</v>
      </c>
      <c r="I7" s="18">
        <f t="shared" si="2"/>
        <v>-0.83333333333333337</v>
      </c>
      <c r="J7" s="21">
        <v>1500</v>
      </c>
      <c r="K7" s="16">
        <v>50</v>
      </c>
      <c r="L7" s="36">
        <f t="shared" si="3"/>
        <v>3.3333333333333333E-2</v>
      </c>
      <c r="M7" s="18">
        <v>0.88</v>
      </c>
      <c r="N7" s="16">
        <v>0</v>
      </c>
      <c r="O7" s="21">
        <f t="shared" si="4"/>
        <v>50</v>
      </c>
      <c r="P7" s="21">
        <v>1320</v>
      </c>
      <c r="Q7" s="36">
        <f t="shared" si="5"/>
        <v>3.787878787878788E-2</v>
      </c>
      <c r="R7" s="21">
        <f>IFERROR(J7/SUM($J$5:$J$10)*SUM('07_Gastos_Fijos'!$D$5:$D$9),0)</f>
        <v>1098.2142857142858</v>
      </c>
      <c r="S7" s="16">
        <v>0</v>
      </c>
      <c r="T7" s="21">
        <f t="shared" si="6"/>
        <v>-1048.2142857142858</v>
      </c>
      <c r="U7" s="36">
        <f t="shared" si="7"/>
        <v>-20.964285714285715</v>
      </c>
      <c r="V7" s="3" t="str">
        <f t="shared" si="8"/>
        <v>ROJO</v>
      </c>
    </row>
    <row r="8" spans="1:22">
      <c r="A8" s="3" t="s">
        <v>1027</v>
      </c>
      <c r="B8" s="3" t="s">
        <v>1176</v>
      </c>
      <c r="C8" s="22" t="s">
        <v>1177</v>
      </c>
      <c r="D8" s="17">
        <v>1</v>
      </c>
      <c r="E8" s="17">
        <v>0</v>
      </c>
      <c r="F8" s="36">
        <f t="shared" si="0"/>
        <v>0</v>
      </c>
      <c r="G8" s="21">
        <v>750</v>
      </c>
      <c r="H8" s="21">
        <f t="shared" si="1"/>
        <v>0</v>
      </c>
      <c r="I8" s="18">
        <f t="shared" si="2"/>
        <v>-1</v>
      </c>
      <c r="J8" s="21">
        <v>750</v>
      </c>
      <c r="K8" s="16">
        <v>0</v>
      </c>
      <c r="L8" s="36">
        <f t="shared" si="3"/>
        <v>0</v>
      </c>
      <c r="M8" s="18">
        <v>0.82</v>
      </c>
      <c r="N8" s="16">
        <v>0</v>
      </c>
      <c r="O8" s="21">
        <f t="shared" si="4"/>
        <v>0</v>
      </c>
      <c r="P8" s="21">
        <v>615</v>
      </c>
      <c r="Q8" s="36">
        <f t="shared" si="5"/>
        <v>0</v>
      </c>
      <c r="R8" s="21">
        <f>IFERROR(J8/SUM($J$5:$J$10)*SUM('07_Gastos_Fijos'!$D$5:$D$9),0)</f>
        <v>549.10714285714289</v>
      </c>
      <c r="S8" s="16">
        <v>0</v>
      </c>
      <c r="T8" s="21">
        <f t="shared" si="6"/>
        <v>-549.10714285714289</v>
      </c>
      <c r="U8" s="36">
        <f t="shared" si="7"/>
        <v>0</v>
      </c>
      <c r="V8" s="3" t="str">
        <f t="shared" si="8"/>
        <v>ROJO</v>
      </c>
    </row>
    <row r="9" spans="1:22">
      <c r="A9" s="3" t="s">
        <v>1027</v>
      </c>
      <c r="B9" s="3" t="s">
        <v>1179</v>
      </c>
      <c r="C9" s="22" t="s">
        <v>1180</v>
      </c>
      <c r="D9" s="17">
        <v>1</v>
      </c>
      <c r="E9" s="17">
        <v>0</v>
      </c>
      <c r="F9" s="36">
        <f t="shared" si="0"/>
        <v>0</v>
      </c>
      <c r="G9" s="21">
        <v>350</v>
      </c>
      <c r="H9" s="21">
        <f t="shared" si="1"/>
        <v>0</v>
      </c>
      <c r="I9" s="18">
        <f t="shared" si="2"/>
        <v>-1</v>
      </c>
      <c r="J9" s="21">
        <v>350</v>
      </c>
      <c r="K9" s="16">
        <v>0</v>
      </c>
      <c r="L9" s="36">
        <f t="shared" si="3"/>
        <v>0</v>
      </c>
      <c r="M9" s="18">
        <v>0.88</v>
      </c>
      <c r="N9" s="16">
        <v>0</v>
      </c>
      <c r="O9" s="21">
        <f t="shared" si="4"/>
        <v>0</v>
      </c>
      <c r="P9" s="21">
        <v>308</v>
      </c>
      <c r="Q9" s="36">
        <f t="shared" si="5"/>
        <v>0</v>
      </c>
      <c r="R9" s="21">
        <f>IFERROR(J9/SUM($J$5:$J$10)*SUM('07_Gastos_Fijos'!$D$5:$D$9),0)</f>
        <v>256.25</v>
      </c>
      <c r="S9" s="16">
        <v>0</v>
      </c>
      <c r="T9" s="21">
        <f t="shared" si="6"/>
        <v>-256.25</v>
      </c>
      <c r="U9" s="36">
        <f t="shared" si="7"/>
        <v>0</v>
      </c>
      <c r="V9" s="3" t="str">
        <f t="shared" si="8"/>
        <v>ROJO</v>
      </c>
    </row>
    <row r="10" spans="1:22" ht="28">
      <c r="A10" s="3" t="s">
        <v>1027</v>
      </c>
      <c r="B10" s="3" t="s">
        <v>1182</v>
      </c>
      <c r="C10" s="22" t="s">
        <v>1183</v>
      </c>
      <c r="D10" s="17">
        <v>0</v>
      </c>
      <c r="E10" s="17">
        <v>0</v>
      </c>
      <c r="F10" s="36">
        <f t="shared" si="0"/>
        <v>0</v>
      </c>
      <c r="G10" s="21">
        <v>500</v>
      </c>
      <c r="H10" s="21">
        <f t="shared" si="1"/>
        <v>0</v>
      </c>
      <c r="I10" s="18">
        <f t="shared" si="2"/>
        <v>-1</v>
      </c>
      <c r="J10" s="21">
        <v>0</v>
      </c>
      <c r="K10" s="16">
        <v>0</v>
      </c>
      <c r="L10" s="36">
        <f t="shared" si="3"/>
        <v>0</v>
      </c>
      <c r="M10" s="18">
        <v>0.82</v>
      </c>
      <c r="N10" s="16">
        <v>0</v>
      </c>
      <c r="O10" s="21">
        <f t="shared" si="4"/>
        <v>0</v>
      </c>
      <c r="P10" s="21">
        <v>0</v>
      </c>
      <c r="Q10" s="36">
        <f t="shared" si="5"/>
        <v>0</v>
      </c>
      <c r="R10" s="21">
        <f>IFERROR(J10/SUM($J$5:$J$10)*SUM('07_Gastos_Fijos'!$D$5:$D$9),0)</f>
        <v>0</v>
      </c>
      <c r="S10" s="16">
        <v>0</v>
      </c>
      <c r="T10" s="21">
        <f t="shared" si="6"/>
        <v>0</v>
      </c>
      <c r="U10" s="36">
        <f t="shared" si="7"/>
        <v>0</v>
      </c>
      <c r="V10" s="3" t="str">
        <f t="shared" si="8"/>
        <v>ROJO</v>
      </c>
    </row>
    <row r="11" spans="1:22">
      <c r="A11" s="3" t="s">
        <v>1062</v>
      </c>
      <c r="B11" s="3" t="s">
        <v>1167</v>
      </c>
      <c r="C11" s="22" t="s">
        <v>1168</v>
      </c>
      <c r="D11" s="17">
        <v>10</v>
      </c>
      <c r="E11" s="17">
        <v>0</v>
      </c>
      <c r="F11" s="36">
        <f t="shared" si="0"/>
        <v>0</v>
      </c>
      <c r="G11" s="21">
        <v>35</v>
      </c>
      <c r="H11" s="21">
        <f t="shared" si="1"/>
        <v>0</v>
      </c>
      <c r="I11" s="18">
        <f t="shared" si="2"/>
        <v>-1</v>
      </c>
      <c r="J11" s="21">
        <v>350</v>
      </c>
      <c r="K11" s="16">
        <v>0</v>
      </c>
      <c r="L11" s="36">
        <f t="shared" si="3"/>
        <v>0</v>
      </c>
      <c r="M11" s="18">
        <v>0.85</v>
      </c>
      <c r="N11" s="16">
        <v>0</v>
      </c>
      <c r="O11" s="21">
        <f t="shared" si="4"/>
        <v>0</v>
      </c>
      <c r="P11" s="21">
        <v>297.5</v>
      </c>
      <c r="Q11" s="36">
        <f t="shared" si="5"/>
        <v>0</v>
      </c>
      <c r="R11" s="21">
        <f>IFERROR(J11/SUM($J$11:$J$16)*SUM('07_Gastos_Fijos'!$D$5:$D$9),0)</f>
        <v>184.40420560747663</v>
      </c>
      <c r="S11" s="16">
        <v>0</v>
      </c>
      <c r="T11" s="21">
        <f t="shared" si="6"/>
        <v>-184.40420560747663</v>
      </c>
      <c r="U11" s="36">
        <f t="shared" si="7"/>
        <v>0</v>
      </c>
      <c r="V11" s="3" t="str">
        <f t="shared" si="8"/>
        <v>ROJO</v>
      </c>
    </row>
    <row r="12" spans="1:22">
      <c r="A12" s="3" t="s">
        <v>1062</v>
      </c>
      <c r="B12" s="3" t="s">
        <v>1170</v>
      </c>
      <c r="C12" s="22" t="s">
        <v>1171</v>
      </c>
      <c r="D12" s="17">
        <v>8</v>
      </c>
      <c r="E12" s="17">
        <v>0</v>
      </c>
      <c r="F12" s="36">
        <f t="shared" si="0"/>
        <v>0</v>
      </c>
      <c r="G12" s="21">
        <v>85</v>
      </c>
      <c r="H12" s="21">
        <f t="shared" si="1"/>
        <v>0</v>
      </c>
      <c r="I12" s="18">
        <f t="shared" si="2"/>
        <v>-1</v>
      </c>
      <c r="J12" s="21">
        <v>680</v>
      </c>
      <c r="K12" s="16">
        <v>0</v>
      </c>
      <c r="L12" s="36">
        <f t="shared" si="3"/>
        <v>0</v>
      </c>
      <c r="M12" s="18">
        <v>0.9</v>
      </c>
      <c r="N12" s="16">
        <v>0</v>
      </c>
      <c r="O12" s="21">
        <f t="shared" si="4"/>
        <v>0</v>
      </c>
      <c r="P12" s="21">
        <v>612</v>
      </c>
      <c r="Q12" s="36">
        <f t="shared" si="5"/>
        <v>0</v>
      </c>
      <c r="R12" s="21">
        <f>IFERROR(J12/SUM($J$11:$J$16)*SUM('07_Gastos_Fijos'!$D$5:$D$9),0)</f>
        <v>358.27102803738313</v>
      </c>
      <c r="S12" s="16">
        <v>0</v>
      </c>
      <c r="T12" s="21">
        <f t="shared" si="6"/>
        <v>-358.27102803738313</v>
      </c>
      <c r="U12" s="36">
        <f t="shared" si="7"/>
        <v>0</v>
      </c>
      <c r="V12" s="3" t="str">
        <f t="shared" si="8"/>
        <v>ROJO</v>
      </c>
    </row>
    <row r="13" spans="1:22">
      <c r="A13" s="3" t="s">
        <v>1062</v>
      </c>
      <c r="B13" s="3" t="s">
        <v>1173</v>
      </c>
      <c r="C13" s="22" t="s">
        <v>1174</v>
      </c>
      <c r="D13" s="17">
        <v>3</v>
      </c>
      <c r="E13" s="17">
        <v>0</v>
      </c>
      <c r="F13" s="36">
        <f t="shared" si="0"/>
        <v>0</v>
      </c>
      <c r="G13" s="21">
        <v>300</v>
      </c>
      <c r="H13" s="21">
        <f t="shared" si="1"/>
        <v>0</v>
      </c>
      <c r="I13" s="18">
        <f t="shared" si="2"/>
        <v>-1</v>
      </c>
      <c r="J13" s="21">
        <v>900</v>
      </c>
      <c r="K13" s="16">
        <v>0</v>
      </c>
      <c r="L13" s="36">
        <f t="shared" si="3"/>
        <v>0</v>
      </c>
      <c r="M13" s="18">
        <v>0.88</v>
      </c>
      <c r="N13" s="16">
        <v>0</v>
      </c>
      <c r="O13" s="21">
        <f t="shared" si="4"/>
        <v>0</v>
      </c>
      <c r="P13" s="21">
        <v>792</v>
      </c>
      <c r="Q13" s="36">
        <f t="shared" si="5"/>
        <v>0</v>
      </c>
      <c r="R13" s="21">
        <f>IFERROR(J13/SUM($J$11:$J$16)*SUM('07_Gastos_Fijos'!$D$5:$D$9),0)</f>
        <v>474.18224299065417</v>
      </c>
      <c r="S13" s="16">
        <v>0</v>
      </c>
      <c r="T13" s="21">
        <f t="shared" si="6"/>
        <v>-474.18224299065417</v>
      </c>
      <c r="U13" s="36">
        <f t="shared" si="7"/>
        <v>0</v>
      </c>
      <c r="V13" s="3" t="str">
        <f t="shared" si="8"/>
        <v>ROJO</v>
      </c>
    </row>
    <row r="14" spans="1:22">
      <c r="A14" s="3" t="s">
        <v>1062</v>
      </c>
      <c r="B14" s="3" t="s">
        <v>1176</v>
      </c>
      <c r="C14" s="22" t="s">
        <v>1177</v>
      </c>
      <c r="D14" s="17">
        <v>2</v>
      </c>
      <c r="E14" s="17">
        <v>0</v>
      </c>
      <c r="F14" s="36">
        <f t="shared" si="0"/>
        <v>0</v>
      </c>
      <c r="G14" s="21">
        <v>750</v>
      </c>
      <c r="H14" s="21">
        <f t="shared" si="1"/>
        <v>0</v>
      </c>
      <c r="I14" s="18">
        <f t="shared" si="2"/>
        <v>-1</v>
      </c>
      <c r="J14" s="21">
        <v>1500</v>
      </c>
      <c r="K14" s="16">
        <v>0</v>
      </c>
      <c r="L14" s="36">
        <f t="shared" si="3"/>
        <v>0</v>
      </c>
      <c r="M14" s="18">
        <v>0.82</v>
      </c>
      <c r="N14" s="16">
        <v>0</v>
      </c>
      <c r="O14" s="21">
        <f t="shared" si="4"/>
        <v>0</v>
      </c>
      <c r="P14" s="21">
        <v>1230</v>
      </c>
      <c r="Q14" s="36">
        <f t="shared" si="5"/>
        <v>0</v>
      </c>
      <c r="R14" s="21">
        <f>IFERROR(J14/SUM($J$11:$J$16)*SUM('07_Gastos_Fijos'!$D$5:$D$9),0)</f>
        <v>790.30373831775694</v>
      </c>
      <c r="S14" s="16">
        <v>0</v>
      </c>
      <c r="T14" s="21">
        <f t="shared" si="6"/>
        <v>-790.30373831775694</v>
      </c>
      <c r="U14" s="36">
        <f t="shared" si="7"/>
        <v>0</v>
      </c>
      <c r="V14" s="3" t="str">
        <f t="shared" si="8"/>
        <v>ROJO</v>
      </c>
    </row>
    <row r="15" spans="1:22">
      <c r="A15" s="3" t="s">
        <v>1062</v>
      </c>
      <c r="B15" s="3" t="s">
        <v>1179</v>
      </c>
      <c r="C15" s="22" t="s">
        <v>1180</v>
      </c>
      <c r="D15" s="17">
        <v>1</v>
      </c>
      <c r="E15" s="17">
        <v>0</v>
      </c>
      <c r="F15" s="36">
        <f t="shared" si="0"/>
        <v>0</v>
      </c>
      <c r="G15" s="21">
        <v>350</v>
      </c>
      <c r="H15" s="21">
        <f t="shared" si="1"/>
        <v>0</v>
      </c>
      <c r="I15" s="18">
        <f t="shared" si="2"/>
        <v>-1</v>
      </c>
      <c r="J15" s="21">
        <v>350</v>
      </c>
      <c r="K15" s="16">
        <v>0</v>
      </c>
      <c r="L15" s="36">
        <f t="shared" si="3"/>
        <v>0</v>
      </c>
      <c r="M15" s="18">
        <v>0.88</v>
      </c>
      <c r="N15" s="16">
        <v>0</v>
      </c>
      <c r="O15" s="21">
        <f t="shared" si="4"/>
        <v>0</v>
      </c>
      <c r="P15" s="21">
        <v>308</v>
      </c>
      <c r="Q15" s="36">
        <f t="shared" si="5"/>
        <v>0</v>
      </c>
      <c r="R15" s="21">
        <f>IFERROR(J15/SUM($J$11:$J$16)*SUM('07_Gastos_Fijos'!$D$5:$D$9),0)</f>
        <v>184.40420560747663</v>
      </c>
      <c r="S15" s="16">
        <v>0</v>
      </c>
      <c r="T15" s="21">
        <f t="shared" si="6"/>
        <v>-184.40420560747663</v>
      </c>
      <c r="U15" s="36">
        <f t="shared" si="7"/>
        <v>0</v>
      </c>
      <c r="V15" s="3" t="str">
        <f t="shared" si="8"/>
        <v>ROJO</v>
      </c>
    </row>
    <row r="16" spans="1:22" ht="28">
      <c r="A16" s="3" t="s">
        <v>1062</v>
      </c>
      <c r="B16" s="3" t="s">
        <v>1182</v>
      </c>
      <c r="C16" s="22" t="s">
        <v>1183</v>
      </c>
      <c r="D16" s="17">
        <v>1</v>
      </c>
      <c r="E16" s="17">
        <v>0</v>
      </c>
      <c r="F16" s="36">
        <f t="shared" si="0"/>
        <v>0</v>
      </c>
      <c r="G16" s="21">
        <v>500</v>
      </c>
      <c r="H16" s="21">
        <f t="shared" si="1"/>
        <v>0</v>
      </c>
      <c r="I16" s="18">
        <f t="shared" si="2"/>
        <v>-1</v>
      </c>
      <c r="J16" s="21">
        <v>500</v>
      </c>
      <c r="K16" s="16">
        <v>0</v>
      </c>
      <c r="L16" s="36">
        <f t="shared" si="3"/>
        <v>0</v>
      </c>
      <c r="M16" s="18">
        <v>0.82</v>
      </c>
      <c r="N16" s="16">
        <v>0</v>
      </c>
      <c r="O16" s="21">
        <f t="shared" si="4"/>
        <v>0</v>
      </c>
      <c r="P16" s="21">
        <v>410</v>
      </c>
      <c r="Q16" s="36">
        <f t="shared" si="5"/>
        <v>0</v>
      </c>
      <c r="R16" s="21">
        <f>IFERROR(J16/SUM($J$11:$J$16)*SUM('07_Gastos_Fijos'!$D$5:$D$9),0)</f>
        <v>263.43457943925233</v>
      </c>
      <c r="S16" s="16">
        <v>0</v>
      </c>
      <c r="T16" s="21">
        <f t="shared" si="6"/>
        <v>-263.43457943925233</v>
      </c>
      <c r="U16" s="36">
        <f t="shared" si="7"/>
        <v>0</v>
      </c>
      <c r="V16" s="3" t="str">
        <f t="shared" si="8"/>
        <v>ROJO</v>
      </c>
    </row>
    <row r="17" spans="1:22">
      <c r="A17" s="3" t="s">
        <v>1187</v>
      </c>
      <c r="B17" s="3" t="s">
        <v>1167</v>
      </c>
      <c r="C17" s="22" t="s">
        <v>1168</v>
      </c>
      <c r="D17" s="17">
        <v>11</v>
      </c>
      <c r="E17" s="17">
        <v>0</v>
      </c>
      <c r="F17" s="36">
        <f t="shared" si="0"/>
        <v>0</v>
      </c>
      <c r="G17" s="21">
        <v>35</v>
      </c>
      <c r="H17" s="21">
        <f t="shared" si="1"/>
        <v>0</v>
      </c>
      <c r="I17" s="18">
        <f t="shared" si="2"/>
        <v>-1</v>
      </c>
      <c r="J17" s="21">
        <v>385</v>
      </c>
      <c r="K17" s="16">
        <v>0</v>
      </c>
      <c r="L17" s="36">
        <f t="shared" si="3"/>
        <v>0</v>
      </c>
      <c r="M17" s="18">
        <v>0.85</v>
      </c>
      <c r="N17" s="16">
        <v>0</v>
      </c>
      <c r="O17" s="21">
        <f t="shared" si="4"/>
        <v>0</v>
      </c>
      <c r="P17" s="21">
        <v>327.25</v>
      </c>
      <c r="Q17" s="36">
        <f t="shared" si="5"/>
        <v>0</v>
      </c>
      <c r="R17" s="21">
        <f>IFERROR(J17/SUM($J$17:$J$22)*SUM('07_Gastos_Fijos'!$D$5:$D$9),0)</f>
        <v>237.85616438356163</v>
      </c>
      <c r="S17" s="16">
        <v>0</v>
      </c>
      <c r="T17" s="21">
        <f t="shared" si="6"/>
        <v>-237.85616438356163</v>
      </c>
      <c r="U17" s="36">
        <f t="shared" si="7"/>
        <v>0</v>
      </c>
      <c r="V17" s="3" t="str">
        <f t="shared" si="8"/>
        <v>ROJO</v>
      </c>
    </row>
    <row r="18" spans="1:22">
      <c r="A18" s="3" t="s">
        <v>1187</v>
      </c>
      <c r="B18" s="3" t="s">
        <v>1170</v>
      </c>
      <c r="C18" s="22" t="s">
        <v>1171</v>
      </c>
      <c r="D18" s="17">
        <v>9</v>
      </c>
      <c r="E18" s="17">
        <v>0</v>
      </c>
      <c r="F18" s="36">
        <f t="shared" si="0"/>
        <v>0</v>
      </c>
      <c r="G18" s="21">
        <v>85</v>
      </c>
      <c r="H18" s="21">
        <f t="shared" si="1"/>
        <v>0</v>
      </c>
      <c r="I18" s="18">
        <f t="shared" si="2"/>
        <v>-1</v>
      </c>
      <c r="J18" s="21">
        <v>765</v>
      </c>
      <c r="K18" s="16">
        <v>0</v>
      </c>
      <c r="L18" s="36">
        <f t="shared" si="3"/>
        <v>0</v>
      </c>
      <c r="M18" s="18">
        <v>0.9</v>
      </c>
      <c r="N18" s="16">
        <v>0</v>
      </c>
      <c r="O18" s="21">
        <f t="shared" si="4"/>
        <v>0</v>
      </c>
      <c r="P18" s="21">
        <v>688.5</v>
      </c>
      <c r="Q18" s="36">
        <f t="shared" si="5"/>
        <v>0</v>
      </c>
      <c r="R18" s="21">
        <f>IFERROR(J18/SUM($J$17:$J$22)*SUM('07_Gastos_Fijos'!$D$5:$D$9),0)</f>
        <v>472.6232876712329</v>
      </c>
      <c r="S18" s="16">
        <v>0</v>
      </c>
      <c r="T18" s="21">
        <f t="shared" si="6"/>
        <v>-472.6232876712329</v>
      </c>
      <c r="U18" s="36">
        <f t="shared" si="7"/>
        <v>0</v>
      </c>
      <c r="V18" s="3" t="str">
        <f t="shared" si="8"/>
        <v>ROJO</v>
      </c>
    </row>
    <row r="19" spans="1:22">
      <c r="A19" s="3" t="s">
        <v>1187</v>
      </c>
      <c r="B19" s="3" t="s">
        <v>1173</v>
      </c>
      <c r="C19" s="22" t="s">
        <v>1174</v>
      </c>
      <c r="D19" s="17">
        <v>3</v>
      </c>
      <c r="E19" s="17">
        <v>0</v>
      </c>
      <c r="F19" s="36">
        <f t="shared" si="0"/>
        <v>0</v>
      </c>
      <c r="G19" s="21">
        <v>300</v>
      </c>
      <c r="H19" s="21">
        <f t="shared" si="1"/>
        <v>0</v>
      </c>
      <c r="I19" s="18">
        <f t="shared" si="2"/>
        <v>-1</v>
      </c>
      <c r="J19" s="21">
        <v>900</v>
      </c>
      <c r="K19" s="16">
        <v>0</v>
      </c>
      <c r="L19" s="36">
        <f t="shared" si="3"/>
        <v>0</v>
      </c>
      <c r="M19" s="18">
        <v>0.88</v>
      </c>
      <c r="N19" s="16">
        <v>0</v>
      </c>
      <c r="O19" s="21">
        <f t="shared" si="4"/>
        <v>0</v>
      </c>
      <c r="P19" s="21">
        <v>792</v>
      </c>
      <c r="Q19" s="36">
        <f t="shared" si="5"/>
        <v>0</v>
      </c>
      <c r="R19" s="21">
        <f>IFERROR(J19/SUM($J$17:$J$22)*SUM('07_Gastos_Fijos'!$D$5:$D$9),0)</f>
        <v>556.02739726027391</v>
      </c>
      <c r="S19" s="16">
        <v>0</v>
      </c>
      <c r="T19" s="21">
        <f t="shared" si="6"/>
        <v>-556.02739726027391</v>
      </c>
      <c r="U19" s="36">
        <f t="shared" si="7"/>
        <v>0</v>
      </c>
      <c r="V19" s="3" t="str">
        <f t="shared" si="8"/>
        <v>ROJO</v>
      </c>
    </row>
    <row r="20" spans="1:22">
      <c r="A20" s="3" t="s">
        <v>1187</v>
      </c>
      <c r="B20" s="3" t="s">
        <v>1176</v>
      </c>
      <c r="C20" s="22" t="s">
        <v>1177</v>
      </c>
      <c r="D20" s="17">
        <v>1</v>
      </c>
      <c r="E20" s="17">
        <v>0</v>
      </c>
      <c r="F20" s="36">
        <f t="shared" si="0"/>
        <v>0</v>
      </c>
      <c r="G20" s="21">
        <v>750</v>
      </c>
      <c r="H20" s="21">
        <f t="shared" si="1"/>
        <v>0</v>
      </c>
      <c r="I20" s="18">
        <f t="shared" si="2"/>
        <v>-1</v>
      </c>
      <c r="J20" s="21">
        <v>750</v>
      </c>
      <c r="K20" s="16">
        <v>0</v>
      </c>
      <c r="L20" s="36">
        <f t="shared" si="3"/>
        <v>0</v>
      </c>
      <c r="M20" s="18">
        <v>0.82</v>
      </c>
      <c r="N20" s="16">
        <v>0</v>
      </c>
      <c r="O20" s="21">
        <f t="shared" si="4"/>
        <v>0</v>
      </c>
      <c r="P20" s="21">
        <v>615</v>
      </c>
      <c r="Q20" s="36">
        <f t="shared" si="5"/>
        <v>0</v>
      </c>
      <c r="R20" s="21">
        <f>IFERROR(J20/SUM($J$17:$J$22)*SUM('07_Gastos_Fijos'!$D$5:$D$9),0)</f>
        <v>463.35616438356163</v>
      </c>
      <c r="S20" s="16">
        <v>0</v>
      </c>
      <c r="T20" s="21">
        <f t="shared" si="6"/>
        <v>-463.35616438356163</v>
      </c>
      <c r="U20" s="36">
        <f t="shared" si="7"/>
        <v>0</v>
      </c>
      <c r="V20" s="3" t="str">
        <f t="shared" si="8"/>
        <v>ROJO</v>
      </c>
    </row>
    <row r="21" spans="1:22">
      <c r="A21" s="3" t="s">
        <v>1187</v>
      </c>
      <c r="B21" s="3" t="s">
        <v>1179</v>
      </c>
      <c r="C21" s="22" t="s">
        <v>1180</v>
      </c>
      <c r="D21" s="17">
        <v>1</v>
      </c>
      <c r="E21" s="17">
        <v>0</v>
      </c>
      <c r="F21" s="36">
        <f t="shared" si="0"/>
        <v>0</v>
      </c>
      <c r="G21" s="21">
        <v>350</v>
      </c>
      <c r="H21" s="21">
        <f t="shared" si="1"/>
        <v>0</v>
      </c>
      <c r="I21" s="18">
        <f t="shared" si="2"/>
        <v>-1</v>
      </c>
      <c r="J21" s="21">
        <v>350</v>
      </c>
      <c r="K21" s="16">
        <v>0</v>
      </c>
      <c r="L21" s="36">
        <f t="shared" si="3"/>
        <v>0</v>
      </c>
      <c r="M21" s="18">
        <v>0.88</v>
      </c>
      <c r="N21" s="16">
        <v>0</v>
      </c>
      <c r="O21" s="21">
        <f t="shared" si="4"/>
        <v>0</v>
      </c>
      <c r="P21" s="21">
        <v>308</v>
      </c>
      <c r="Q21" s="36">
        <f t="shared" si="5"/>
        <v>0</v>
      </c>
      <c r="R21" s="21">
        <f>IFERROR(J21/SUM($J$17:$J$22)*SUM('07_Gastos_Fijos'!$D$5:$D$9),0)</f>
        <v>216.23287671232876</v>
      </c>
      <c r="S21" s="16">
        <v>0</v>
      </c>
      <c r="T21" s="21">
        <f t="shared" si="6"/>
        <v>-216.23287671232876</v>
      </c>
      <c r="U21" s="36">
        <f t="shared" si="7"/>
        <v>0</v>
      </c>
      <c r="V21" s="3" t="str">
        <f t="shared" si="8"/>
        <v>ROJO</v>
      </c>
    </row>
    <row r="22" spans="1:22" ht="28">
      <c r="A22" s="3" t="s">
        <v>1187</v>
      </c>
      <c r="B22" s="3" t="s">
        <v>1182</v>
      </c>
      <c r="C22" s="22" t="s">
        <v>1183</v>
      </c>
      <c r="D22" s="17">
        <v>1</v>
      </c>
      <c r="E22" s="17">
        <v>0</v>
      </c>
      <c r="F22" s="36">
        <f t="shared" si="0"/>
        <v>0</v>
      </c>
      <c r="G22" s="21">
        <v>500</v>
      </c>
      <c r="H22" s="21">
        <f t="shared" si="1"/>
        <v>0</v>
      </c>
      <c r="I22" s="18">
        <f t="shared" si="2"/>
        <v>-1</v>
      </c>
      <c r="J22" s="21">
        <v>500</v>
      </c>
      <c r="K22" s="16">
        <v>0</v>
      </c>
      <c r="L22" s="36">
        <f t="shared" si="3"/>
        <v>0</v>
      </c>
      <c r="M22" s="18">
        <v>0.82</v>
      </c>
      <c r="N22" s="16">
        <v>0</v>
      </c>
      <c r="O22" s="21">
        <f t="shared" si="4"/>
        <v>0</v>
      </c>
      <c r="P22" s="21">
        <v>410</v>
      </c>
      <c r="Q22" s="36">
        <f t="shared" si="5"/>
        <v>0</v>
      </c>
      <c r="R22" s="21">
        <f>IFERROR(J22/SUM($J$17:$J$22)*SUM('07_Gastos_Fijos'!$D$5:$D$9),0)</f>
        <v>308.90410958904107</v>
      </c>
      <c r="S22" s="16">
        <v>0</v>
      </c>
      <c r="T22" s="21">
        <f t="shared" si="6"/>
        <v>-308.90410958904107</v>
      </c>
      <c r="U22" s="36">
        <f t="shared" si="7"/>
        <v>0</v>
      </c>
      <c r="V22" s="3" t="str">
        <f t="shared" si="8"/>
        <v>ROJO</v>
      </c>
    </row>
    <row r="23" spans="1:22">
      <c r="A23" s="3" t="s">
        <v>1188</v>
      </c>
      <c r="B23" s="3" t="s">
        <v>1167</v>
      </c>
      <c r="C23" s="22" t="s">
        <v>1168</v>
      </c>
      <c r="D23" s="17">
        <v>12</v>
      </c>
      <c r="E23" s="17">
        <v>0</v>
      </c>
      <c r="F23" s="36">
        <f t="shared" si="0"/>
        <v>0</v>
      </c>
      <c r="G23" s="21">
        <v>35</v>
      </c>
      <c r="H23" s="21">
        <f t="shared" si="1"/>
        <v>0</v>
      </c>
      <c r="I23" s="18">
        <f t="shared" si="2"/>
        <v>-1</v>
      </c>
      <c r="J23" s="21">
        <v>420</v>
      </c>
      <c r="K23" s="16">
        <v>0</v>
      </c>
      <c r="L23" s="36">
        <f t="shared" si="3"/>
        <v>0</v>
      </c>
      <c r="M23" s="18">
        <v>0.85</v>
      </c>
      <c r="N23" s="16">
        <v>0</v>
      </c>
      <c r="O23" s="21">
        <f t="shared" si="4"/>
        <v>0</v>
      </c>
      <c r="P23" s="21">
        <v>357</v>
      </c>
      <c r="Q23" s="36">
        <f t="shared" si="5"/>
        <v>0</v>
      </c>
      <c r="R23" s="21">
        <f>IFERROR(J23/SUM($J$23:$J$28)*SUM('07_Gastos_Fijos'!$D$5:$D$9),0)</f>
        <v>257.0149253731343</v>
      </c>
      <c r="S23" s="16">
        <v>0</v>
      </c>
      <c r="T23" s="21">
        <f t="shared" si="6"/>
        <v>-257.0149253731343</v>
      </c>
      <c r="U23" s="36">
        <f t="shared" si="7"/>
        <v>0</v>
      </c>
      <c r="V23" s="3" t="str">
        <f t="shared" si="8"/>
        <v>ROJO</v>
      </c>
    </row>
    <row r="24" spans="1:22">
      <c r="A24" s="3" t="s">
        <v>1188</v>
      </c>
      <c r="B24" s="3" t="s">
        <v>1170</v>
      </c>
      <c r="C24" s="22" t="s">
        <v>1171</v>
      </c>
      <c r="D24" s="17">
        <v>9</v>
      </c>
      <c r="E24" s="17">
        <v>0</v>
      </c>
      <c r="F24" s="36">
        <f t="shared" si="0"/>
        <v>0</v>
      </c>
      <c r="G24" s="21">
        <v>85</v>
      </c>
      <c r="H24" s="21">
        <f t="shared" si="1"/>
        <v>0</v>
      </c>
      <c r="I24" s="18">
        <f t="shared" si="2"/>
        <v>-1</v>
      </c>
      <c r="J24" s="21">
        <v>765</v>
      </c>
      <c r="K24" s="16">
        <v>0</v>
      </c>
      <c r="L24" s="36">
        <f t="shared" si="3"/>
        <v>0</v>
      </c>
      <c r="M24" s="18">
        <v>0.9</v>
      </c>
      <c r="N24" s="16">
        <v>0</v>
      </c>
      <c r="O24" s="21">
        <f t="shared" si="4"/>
        <v>0</v>
      </c>
      <c r="P24" s="21">
        <v>688.5</v>
      </c>
      <c r="Q24" s="36">
        <f t="shared" si="5"/>
        <v>0</v>
      </c>
      <c r="R24" s="21">
        <f>IFERROR(J24/SUM($J$23:$J$28)*SUM('07_Gastos_Fijos'!$D$5:$D$9),0)</f>
        <v>468.13432835820896</v>
      </c>
      <c r="S24" s="16">
        <v>0</v>
      </c>
      <c r="T24" s="21">
        <f t="shared" si="6"/>
        <v>-468.13432835820896</v>
      </c>
      <c r="U24" s="36">
        <f t="shared" si="7"/>
        <v>0</v>
      </c>
      <c r="V24" s="3" t="str">
        <f t="shared" si="8"/>
        <v>ROJO</v>
      </c>
    </row>
    <row r="25" spans="1:22">
      <c r="A25" s="3" t="s">
        <v>1188</v>
      </c>
      <c r="B25" s="3" t="s">
        <v>1173</v>
      </c>
      <c r="C25" s="22" t="s">
        <v>1174</v>
      </c>
      <c r="D25" s="17">
        <v>3</v>
      </c>
      <c r="E25" s="17">
        <v>0</v>
      </c>
      <c r="F25" s="36">
        <f t="shared" si="0"/>
        <v>0</v>
      </c>
      <c r="G25" s="21">
        <v>300</v>
      </c>
      <c r="H25" s="21">
        <f t="shared" si="1"/>
        <v>0</v>
      </c>
      <c r="I25" s="18">
        <f t="shared" si="2"/>
        <v>-1</v>
      </c>
      <c r="J25" s="21">
        <v>900</v>
      </c>
      <c r="K25" s="16">
        <v>0</v>
      </c>
      <c r="L25" s="36">
        <f t="shared" si="3"/>
        <v>0</v>
      </c>
      <c r="M25" s="18">
        <v>0.88</v>
      </c>
      <c r="N25" s="16">
        <v>0</v>
      </c>
      <c r="O25" s="21">
        <f t="shared" si="4"/>
        <v>0</v>
      </c>
      <c r="P25" s="21">
        <v>792</v>
      </c>
      <c r="Q25" s="36">
        <f t="shared" si="5"/>
        <v>0</v>
      </c>
      <c r="R25" s="21">
        <f>IFERROR(J25/SUM($J$23:$J$28)*SUM('07_Gastos_Fijos'!$D$5:$D$9),0)</f>
        <v>550.74626865671644</v>
      </c>
      <c r="S25" s="16">
        <v>0</v>
      </c>
      <c r="T25" s="21">
        <f t="shared" si="6"/>
        <v>-550.74626865671644</v>
      </c>
      <c r="U25" s="36">
        <f t="shared" si="7"/>
        <v>0</v>
      </c>
      <c r="V25" s="3" t="str">
        <f t="shared" si="8"/>
        <v>ROJO</v>
      </c>
    </row>
    <row r="26" spans="1:22">
      <c r="A26" s="3" t="s">
        <v>1188</v>
      </c>
      <c r="B26" s="3" t="s">
        <v>1176</v>
      </c>
      <c r="C26" s="22" t="s">
        <v>1177</v>
      </c>
      <c r="D26" s="17">
        <v>1</v>
      </c>
      <c r="E26" s="17">
        <v>0</v>
      </c>
      <c r="F26" s="36">
        <f t="shared" si="0"/>
        <v>0</v>
      </c>
      <c r="G26" s="21">
        <v>750</v>
      </c>
      <c r="H26" s="21">
        <f t="shared" si="1"/>
        <v>0</v>
      </c>
      <c r="I26" s="18">
        <f t="shared" si="2"/>
        <v>-1</v>
      </c>
      <c r="J26" s="21">
        <v>750</v>
      </c>
      <c r="K26" s="16">
        <v>0</v>
      </c>
      <c r="L26" s="36">
        <f t="shared" si="3"/>
        <v>0</v>
      </c>
      <c r="M26" s="18">
        <v>0.82</v>
      </c>
      <c r="N26" s="16">
        <v>0</v>
      </c>
      <c r="O26" s="21">
        <f t="shared" si="4"/>
        <v>0</v>
      </c>
      <c r="P26" s="21">
        <v>615</v>
      </c>
      <c r="Q26" s="36">
        <f t="shared" si="5"/>
        <v>0</v>
      </c>
      <c r="R26" s="21">
        <f>IFERROR(J26/SUM($J$23:$J$28)*SUM('07_Gastos_Fijos'!$D$5:$D$9),0)</f>
        <v>458.95522388059698</v>
      </c>
      <c r="S26" s="16">
        <v>0</v>
      </c>
      <c r="T26" s="21">
        <f t="shared" si="6"/>
        <v>-458.95522388059698</v>
      </c>
      <c r="U26" s="36">
        <f t="shared" si="7"/>
        <v>0</v>
      </c>
      <c r="V26" s="3" t="str">
        <f t="shared" si="8"/>
        <v>ROJO</v>
      </c>
    </row>
    <row r="27" spans="1:22">
      <c r="A27" s="3" t="s">
        <v>1188</v>
      </c>
      <c r="B27" s="3" t="s">
        <v>1179</v>
      </c>
      <c r="C27" s="22" t="s">
        <v>1180</v>
      </c>
      <c r="D27" s="17">
        <v>1</v>
      </c>
      <c r="E27" s="17">
        <v>0</v>
      </c>
      <c r="F27" s="36">
        <f t="shared" si="0"/>
        <v>0</v>
      </c>
      <c r="G27" s="21">
        <v>350</v>
      </c>
      <c r="H27" s="21">
        <f t="shared" si="1"/>
        <v>0</v>
      </c>
      <c r="I27" s="18">
        <f t="shared" si="2"/>
        <v>-1</v>
      </c>
      <c r="J27" s="21">
        <v>350</v>
      </c>
      <c r="K27" s="16">
        <v>0</v>
      </c>
      <c r="L27" s="36">
        <f t="shared" si="3"/>
        <v>0</v>
      </c>
      <c r="M27" s="18">
        <v>0.88</v>
      </c>
      <c r="N27" s="16">
        <v>0</v>
      </c>
      <c r="O27" s="21">
        <f t="shared" si="4"/>
        <v>0</v>
      </c>
      <c r="P27" s="21">
        <v>308</v>
      </c>
      <c r="Q27" s="36">
        <f t="shared" si="5"/>
        <v>0</v>
      </c>
      <c r="R27" s="21">
        <f>IFERROR(J27/SUM($J$23:$J$28)*SUM('07_Gastos_Fijos'!$D$5:$D$9),0)</f>
        <v>214.17910447761193</v>
      </c>
      <c r="S27" s="16">
        <v>0</v>
      </c>
      <c r="T27" s="21">
        <f t="shared" si="6"/>
        <v>-214.17910447761193</v>
      </c>
      <c r="U27" s="36">
        <f t="shared" si="7"/>
        <v>0</v>
      </c>
      <c r="V27" s="3" t="str">
        <f t="shared" si="8"/>
        <v>ROJO</v>
      </c>
    </row>
    <row r="28" spans="1:22" ht="28">
      <c r="A28" s="3" t="s">
        <v>1188</v>
      </c>
      <c r="B28" s="3" t="s">
        <v>1182</v>
      </c>
      <c r="C28" s="22" t="s">
        <v>1183</v>
      </c>
      <c r="D28" s="17">
        <v>1</v>
      </c>
      <c r="E28" s="17">
        <v>0</v>
      </c>
      <c r="F28" s="36">
        <f t="shared" si="0"/>
        <v>0</v>
      </c>
      <c r="G28" s="21">
        <v>500</v>
      </c>
      <c r="H28" s="21">
        <f t="shared" si="1"/>
        <v>0</v>
      </c>
      <c r="I28" s="18">
        <f t="shared" si="2"/>
        <v>-1</v>
      </c>
      <c r="J28" s="21">
        <v>500</v>
      </c>
      <c r="K28" s="16">
        <v>0</v>
      </c>
      <c r="L28" s="36">
        <f t="shared" si="3"/>
        <v>0</v>
      </c>
      <c r="M28" s="18">
        <v>0.82</v>
      </c>
      <c r="N28" s="16">
        <v>0</v>
      </c>
      <c r="O28" s="21">
        <f t="shared" si="4"/>
        <v>0</v>
      </c>
      <c r="P28" s="21">
        <v>410</v>
      </c>
      <c r="Q28" s="36">
        <f t="shared" si="5"/>
        <v>0</v>
      </c>
      <c r="R28" s="21">
        <f>IFERROR(J28/SUM($J$23:$J$28)*SUM('07_Gastos_Fijos'!$D$5:$D$9),0)</f>
        <v>305.97014925373134</v>
      </c>
      <c r="S28" s="16">
        <v>0</v>
      </c>
      <c r="T28" s="21">
        <f t="shared" si="6"/>
        <v>-305.97014925373134</v>
      </c>
      <c r="U28" s="36">
        <f t="shared" si="7"/>
        <v>0</v>
      </c>
      <c r="V28" s="3" t="str">
        <f t="shared" si="8"/>
        <v>ROJO</v>
      </c>
    </row>
    <row r="29" spans="1:22">
      <c r="A29" s="3" t="s">
        <v>1189</v>
      </c>
      <c r="B29" s="3" t="s">
        <v>1167</v>
      </c>
      <c r="C29" s="22" t="s">
        <v>1168</v>
      </c>
      <c r="D29" s="17">
        <v>13</v>
      </c>
      <c r="E29" s="17">
        <v>0</v>
      </c>
      <c r="F29" s="36">
        <f t="shared" si="0"/>
        <v>0</v>
      </c>
      <c r="G29" s="21">
        <v>35</v>
      </c>
      <c r="H29" s="21">
        <f t="shared" si="1"/>
        <v>0</v>
      </c>
      <c r="I29" s="18">
        <f t="shared" si="2"/>
        <v>-1</v>
      </c>
      <c r="J29" s="21">
        <v>455</v>
      </c>
      <c r="K29" s="16">
        <v>0</v>
      </c>
      <c r="L29" s="36">
        <f t="shared" si="3"/>
        <v>0</v>
      </c>
      <c r="M29" s="18">
        <v>0.85</v>
      </c>
      <c r="N29" s="16">
        <v>0</v>
      </c>
      <c r="O29" s="21">
        <f t="shared" si="4"/>
        <v>0</v>
      </c>
      <c r="P29" s="21">
        <v>386.75</v>
      </c>
      <c r="Q29" s="36">
        <f t="shared" si="5"/>
        <v>0</v>
      </c>
      <c r="R29" s="21">
        <f>IFERROR(J29/SUM($J$29:$J$34)*SUM('07_Gastos_Fijos'!$D$5:$D$9),0)</f>
        <v>269.65177398160318</v>
      </c>
      <c r="S29" s="16">
        <v>0</v>
      </c>
      <c r="T29" s="21">
        <f t="shared" si="6"/>
        <v>-269.65177398160318</v>
      </c>
      <c r="U29" s="36">
        <f t="shared" si="7"/>
        <v>0</v>
      </c>
      <c r="V29" s="3" t="str">
        <f t="shared" si="8"/>
        <v>ROJO</v>
      </c>
    </row>
    <row r="30" spans="1:22">
      <c r="A30" s="3" t="s">
        <v>1189</v>
      </c>
      <c r="B30" s="3" t="s">
        <v>1170</v>
      </c>
      <c r="C30" s="22" t="s">
        <v>1171</v>
      </c>
      <c r="D30" s="17">
        <v>10</v>
      </c>
      <c r="E30" s="17">
        <v>0</v>
      </c>
      <c r="F30" s="36">
        <f t="shared" si="0"/>
        <v>0</v>
      </c>
      <c r="G30" s="21">
        <v>85</v>
      </c>
      <c r="H30" s="21">
        <f t="shared" si="1"/>
        <v>0</v>
      </c>
      <c r="I30" s="18">
        <f t="shared" si="2"/>
        <v>-1</v>
      </c>
      <c r="J30" s="21">
        <v>850</v>
      </c>
      <c r="K30" s="16">
        <v>0</v>
      </c>
      <c r="L30" s="36">
        <f t="shared" si="3"/>
        <v>0</v>
      </c>
      <c r="M30" s="18">
        <v>0.9</v>
      </c>
      <c r="N30" s="16">
        <v>0</v>
      </c>
      <c r="O30" s="21">
        <f t="shared" si="4"/>
        <v>0</v>
      </c>
      <c r="P30" s="21">
        <v>765</v>
      </c>
      <c r="Q30" s="36">
        <f t="shared" si="5"/>
        <v>0</v>
      </c>
      <c r="R30" s="21">
        <f>IFERROR(J30/SUM($J$29:$J$34)*SUM('07_Gastos_Fijos'!$D$5:$D$9),0)</f>
        <v>503.74507227332452</v>
      </c>
      <c r="S30" s="16">
        <v>0</v>
      </c>
      <c r="T30" s="21">
        <f t="shared" si="6"/>
        <v>-503.74507227332452</v>
      </c>
      <c r="U30" s="36">
        <f t="shared" si="7"/>
        <v>0</v>
      </c>
      <c r="V30" s="3" t="str">
        <f t="shared" si="8"/>
        <v>ROJO</v>
      </c>
    </row>
    <row r="31" spans="1:22">
      <c r="A31" s="3" t="s">
        <v>1189</v>
      </c>
      <c r="B31" s="3" t="s">
        <v>1173</v>
      </c>
      <c r="C31" s="22" t="s">
        <v>1174</v>
      </c>
      <c r="D31" s="17">
        <v>3</v>
      </c>
      <c r="E31" s="17">
        <v>0</v>
      </c>
      <c r="F31" s="36">
        <f t="shared" si="0"/>
        <v>0</v>
      </c>
      <c r="G31" s="21">
        <v>300</v>
      </c>
      <c r="H31" s="21">
        <f t="shared" si="1"/>
        <v>0</v>
      </c>
      <c r="I31" s="18">
        <f t="shared" si="2"/>
        <v>-1</v>
      </c>
      <c r="J31" s="21">
        <v>900</v>
      </c>
      <c r="K31" s="16">
        <v>0</v>
      </c>
      <c r="L31" s="36">
        <f t="shared" si="3"/>
        <v>0</v>
      </c>
      <c r="M31" s="18">
        <v>0.88</v>
      </c>
      <c r="N31" s="16">
        <v>0</v>
      </c>
      <c r="O31" s="21">
        <f t="shared" si="4"/>
        <v>0</v>
      </c>
      <c r="P31" s="21">
        <v>792</v>
      </c>
      <c r="Q31" s="36">
        <f t="shared" si="5"/>
        <v>0</v>
      </c>
      <c r="R31" s="21">
        <f>IFERROR(J31/SUM($J$29:$J$34)*SUM('07_Gastos_Fijos'!$D$5:$D$9),0)</f>
        <v>533.37713534822603</v>
      </c>
      <c r="S31" s="16">
        <v>0</v>
      </c>
      <c r="T31" s="21">
        <f t="shared" si="6"/>
        <v>-533.37713534822603</v>
      </c>
      <c r="U31" s="36">
        <f t="shared" si="7"/>
        <v>0</v>
      </c>
      <c r="V31" s="3" t="str">
        <f t="shared" si="8"/>
        <v>ROJO</v>
      </c>
    </row>
    <row r="32" spans="1:22">
      <c r="A32" s="3" t="s">
        <v>1189</v>
      </c>
      <c r="B32" s="3" t="s">
        <v>1176</v>
      </c>
      <c r="C32" s="22" t="s">
        <v>1177</v>
      </c>
      <c r="D32" s="17">
        <v>1</v>
      </c>
      <c r="E32" s="17">
        <v>0</v>
      </c>
      <c r="F32" s="36">
        <f t="shared" si="0"/>
        <v>0</v>
      </c>
      <c r="G32" s="21">
        <v>750</v>
      </c>
      <c r="H32" s="21">
        <f t="shared" si="1"/>
        <v>0</v>
      </c>
      <c r="I32" s="18">
        <f t="shared" si="2"/>
        <v>-1</v>
      </c>
      <c r="J32" s="21">
        <v>750</v>
      </c>
      <c r="K32" s="16">
        <v>0</v>
      </c>
      <c r="L32" s="36">
        <f t="shared" si="3"/>
        <v>0</v>
      </c>
      <c r="M32" s="18">
        <v>0.82</v>
      </c>
      <c r="N32" s="16">
        <v>0</v>
      </c>
      <c r="O32" s="21">
        <f t="shared" si="4"/>
        <v>0</v>
      </c>
      <c r="P32" s="21">
        <v>615</v>
      </c>
      <c r="Q32" s="36">
        <f t="shared" si="5"/>
        <v>0</v>
      </c>
      <c r="R32" s="21">
        <f>IFERROR(J32/SUM($J$29:$J$34)*SUM('07_Gastos_Fijos'!$D$5:$D$9),0)</f>
        <v>444.48094612352168</v>
      </c>
      <c r="S32" s="16">
        <v>0</v>
      </c>
      <c r="T32" s="21">
        <f t="shared" si="6"/>
        <v>-444.48094612352168</v>
      </c>
      <c r="U32" s="36">
        <f t="shared" si="7"/>
        <v>0</v>
      </c>
      <c r="V32" s="3" t="str">
        <f t="shared" si="8"/>
        <v>ROJO</v>
      </c>
    </row>
    <row r="33" spans="1:22">
      <c r="A33" s="3" t="s">
        <v>1189</v>
      </c>
      <c r="B33" s="3" t="s">
        <v>1179</v>
      </c>
      <c r="C33" s="22" t="s">
        <v>1180</v>
      </c>
      <c r="D33" s="17">
        <v>1</v>
      </c>
      <c r="E33" s="17">
        <v>0</v>
      </c>
      <c r="F33" s="36">
        <f t="shared" si="0"/>
        <v>0</v>
      </c>
      <c r="G33" s="21">
        <v>350</v>
      </c>
      <c r="H33" s="21">
        <f t="shared" si="1"/>
        <v>0</v>
      </c>
      <c r="I33" s="18">
        <f t="shared" si="2"/>
        <v>-1</v>
      </c>
      <c r="J33" s="21">
        <v>350</v>
      </c>
      <c r="K33" s="16">
        <v>0</v>
      </c>
      <c r="L33" s="36">
        <f t="shared" si="3"/>
        <v>0</v>
      </c>
      <c r="M33" s="18">
        <v>0.88</v>
      </c>
      <c r="N33" s="16">
        <v>0</v>
      </c>
      <c r="O33" s="21">
        <f t="shared" si="4"/>
        <v>0</v>
      </c>
      <c r="P33" s="21">
        <v>308</v>
      </c>
      <c r="Q33" s="36">
        <f t="shared" si="5"/>
        <v>0</v>
      </c>
      <c r="R33" s="21">
        <f>IFERROR(J33/SUM($J$29:$J$34)*SUM('07_Gastos_Fijos'!$D$5:$D$9),0)</f>
        <v>207.42444152431011</v>
      </c>
      <c r="S33" s="16">
        <v>0</v>
      </c>
      <c r="T33" s="21">
        <f t="shared" si="6"/>
        <v>-207.42444152431011</v>
      </c>
      <c r="U33" s="36">
        <f t="shared" si="7"/>
        <v>0</v>
      </c>
      <c r="V33" s="3" t="str">
        <f t="shared" si="8"/>
        <v>ROJO</v>
      </c>
    </row>
    <row r="34" spans="1:22" ht="28">
      <c r="A34" s="3" t="s">
        <v>1189</v>
      </c>
      <c r="B34" s="3" t="s">
        <v>1182</v>
      </c>
      <c r="C34" s="22" t="s">
        <v>1183</v>
      </c>
      <c r="D34" s="17">
        <v>1</v>
      </c>
      <c r="E34" s="17">
        <v>0</v>
      </c>
      <c r="F34" s="36">
        <f t="shared" si="0"/>
        <v>0</v>
      </c>
      <c r="G34" s="21">
        <v>500</v>
      </c>
      <c r="H34" s="21">
        <f t="shared" si="1"/>
        <v>0</v>
      </c>
      <c r="I34" s="18">
        <f t="shared" si="2"/>
        <v>-1</v>
      </c>
      <c r="J34" s="21">
        <v>500</v>
      </c>
      <c r="K34" s="16">
        <v>0</v>
      </c>
      <c r="L34" s="36">
        <f t="shared" si="3"/>
        <v>0</v>
      </c>
      <c r="M34" s="18">
        <v>0.82</v>
      </c>
      <c r="N34" s="16">
        <v>0</v>
      </c>
      <c r="O34" s="21">
        <f t="shared" si="4"/>
        <v>0</v>
      </c>
      <c r="P34" s="21">
        <v>410</v>
      </c>
      <c r="Q34" s="36">
        <f t="shared" si="5"/>
        <v>0</v>
      </c>
      <c r="R34" s="21">
        <f>IFERROR(J34/SUM($J$29:$J$34)*SUM('07_Gastos_Fijos'!$D$5:$D$9),0)</f>
        <v>296.32063074901447</v>
      </c>
      <c r="S34" s="16">
        <v>0</v>
      </c>
      <c r="T34" s="21">
        <f t="shared" si="6"/>
        <v>-296.32063074901447</v>
      </c>
      <c r="U34" s="36">
        <f t="shared" si="7"/>
        <v>0</v>
      </c>
      <c r="V34" s="3" t="str">
        <f t="shared" si="8"/>
        <v>ROJO</v>
      </c>
    </row>
    <row r="35" spans="1:22">
      <c r="A35" s="3" t="s">
        <v>1190</v>
      </c>
      <c r="B35" s="3" t="s">
        <v>1167</v>
      </c>
      <c r="C35" s="22" t="s">
        <v>1168</v>
      </c>
      <c r="D35" s="17">
        <v>14</v>
      </c>
      <c r="E35" s="17">
        <v>0</v>
      </c>
      <c r="F35" s="36">
        <f t="shared" si="0"/>
        <v>0</v>
      </c>
      <c r="G35" s="21">
        <v>35</v>
      </c>
      <c r="H35" s="21">
        <f t="shared" si="1"/>
        <v>0</v>
      </c>
      <c r="I35" s="18">
        <f t="shared" si="2"/>
        <v>-1</v>
      </c>
      <c r="J35" s="21">
        <v>490</v>
      </c>
      <c r="K35" s="16">
        <v>0</v>
      </c>
      <c r="L35" s="36">
        <f t="shared" si="3"/>
        <v>0</v>
      </c>
      <c r="M35" s="18">
        <v>0.85</v>
      </c>
      <c r="N35" s="16">
        <v>0</v>
      </c>
      <c r="O35" s="21">
        <f t="shared" si="4"/>
        <v>0</v>
      </c>
      <c r="P35" s="21">
        <v>416.5</v>
      </c>
      <c r="Q35" s="36">
        <f t="shared" si="5"/>
        <v>0</v>
      </c>
      <c r="R35" s="21">
        <f>IFERROR(J35/SUM($J$35:$J$40)*SUM('07_Gastos_Fijos'!$D$5:$D$9),0)</f>
        <v>266.89613526570048</v>
      </c>
      <c r="S35" s="16">
        <v>0</v>
      </c>
      <c r="T35" s="21">
        <f t="shared" si="6"/>
        <v>-266.89613526570048</v>
      </c>
      <c r="U35" s="36">
        <f t="shared" si="7"/>
        <v>0</v>
      </c>
      <c r="V35" s="3" t="str">
        <f t="shared" si="8"/>
        <v>ROJO</v>
      </c>
    </row>
    <row r="36" spans="1:22">
      <c r="A36" s="3" t="s">
        <v>1190</v>
      </c>
      <c r="B36" s="3" t="s">
        <v>1170</v>
      </c>
      <c r="C36" s="22" t="s">
        <v>1171</v>
      </c>
      <c r="D36" s="17">
        <v>10</v>
      </c>
      <c r="E36" s="17">
        <v>0</v>
      </c>
      <c r="F36" s="36">
        <f t="shared" si="0"/>
        <v>0</v>
      </c>
      <c r="G36" s="21">
        <v>85</v>
      </c>
      <c r="H36" s="21">
        <f t="shared" si="1"/>
        <v>0</v>
      </c>
      <c r="I36" s="18">
        <f t="shared" si="2"/>
        <v>-1</v>
      </c>
      <c r="J36" s="21">
        <v>850</v>
      </c>
      <c r="K36" s="16">
        <v>0</v>
      </c>
      <c r="L36" s="36">
        <f t="shared" si="3"/>
        <v>0</v>
      </c>
      <c r="M36" s="18">
        <v>0.9</v>
      </c>
      <c r="N36" s="16">
        <v>0</v>
      </c>
      <c r="O36" s="21">
        <f t="shared" si="4"/>
        <v>0</v>
      </c>
      <c r="P36" s="21">
        <v>765</v>
      </c>
      <c r="Q36" s="36">
        <f t="shared" si="5"/>
        <v>0</v>
      </c>
      <c r="R36" s="21">
        <f>IFERROR(J36/SUM($J$35:$J$40)*SUM('07_Gastos_Fijos'!$D$5:$D$9),0)</f>
        <v>462.98309178743961</v>
      </c>
      <c r="S36" s="16">
        <v>0</v>
      </c>
      <c r="T36" s="21">
        <f t="shared" si="6"/>
        <v>-462.98309178743961</v>
      </c>
      <c r="U36" s="36">
        <f t="shared" si="7"/>
        <v>0</v>
      </c>
      <c r="V36" s="3" t="str">
        <f t="shared" si="8"/>
        <v>ROJO</v>
      </c>
    </row>
    <row r="37" spans="1:22">
      <c r="A37" s="3" t="s">
        <v>1190</v>
      </c>
      <c r="B37" s="3" t="s">
        <v>1173</v>
      </c>
      <c r="C37" s="22" t="s">
        <v>1174</v>
      </c>
      <c r="D37" s="17">
        <v>4</v>
      </c>
      <c r="E37" s="17">
        <v>0</v>
      </c>
      <c r="F37" s="36">
        <f t="shared" si="0"/>
        <v>0</v>
      </c>
      <c r="G37" s="21">
        <v>300</v>
      </c>
      <c r="H37" s="21">
        <f t="shared" si="1"/>
        <v>0</v>
      </c>
      <c r="I37" s="18">
        <f t="shared" si="2"/>
        <v>-1</v>
      </c>
      <c r="J37" s="21">
        <v>1200</v>
      </c>
      <c r="K37" s="16">
        <v>0</v>
      </c>
      <c r="L37" s="36">
        <f t="shared" si="3"/>
        <v>0</v>
      </c>
      <c r="M37" s="18">
        <v>0.88</v>
      </c>
      <c r="N37" s="16">
        <v>0</v>
      </c>
      <c r="O37" s="21">
        <f t="shared" si="4"/>
        <v>0</v>
      </c>
      <c r="P37" s="21">
        <v>1056</v>
      </c>
      <c r="Q37" s="36">
        <f t="shared" si="5"/>
        <v>0</v>
      </c>
      <c r="R37" s="21">
        <f>IFERROR(J37/SUM($J$35:$J$40)*SUM('07_Gastos_Fijos'!$D$5:$D$9),0)</f>
        <v>653.62318840579712</v>
      </c>
      <c r="S37" s="16">
        <v>0</v>
      </c>
      <c r="T37" s="21">
        <f t="shared" si="6"/>
        <v>-653.62318840579712</v>
      </c>
      <c r="U37" s="36">
        <f t="shared" si="7"/>
        <v>0</v>
      </c>
      <c r="V37" s="3" t="str">
        <f t="shared" si="8"/>
        <v>ROJO</v>
      </c>
    </row>
    <row r="38" spans="1:22">
      <c r="A38" s="3" t="s">
        <v>1190</v>
      </c>
      <c r="B38" s="3" t="s">
        <v>1176</v>
      </c>
      <c r="C38" s="22" t="s">
        <v>1177</v>
      </c>
      <c r="D38" s="17">
        <v>1</v>
      </c>
      <c r="E38" s="17">
        <v>0</v>
      </c>
      <c r="F38" s="36">
        <f t="shared" si="0"/>
        <v>0</v>
      </c>
      <c r="G38" s="21">
        <v>750</v>
      </c>
      <c r="H38" s="21">
        <f t="shared" si="1"/>
        <v>0</v>
      </c>
      <c r="I38" s="18">
        <f t="shared" si="2"/>
        <v>-1</v>
      </c>
      <c r="J38" s="21">
        <v>750</v>
      </c>
      <c r="K38" s="16">
        <v>0</v>
      </c>
      <c r="L38" s="36">
        <f t="shared" si="3"/>
        <v>0</v>
      </c>
      <c r="M38" s="18">
        <v>0.82</v>
      </c>
      <c r="N38" s="16">
        <v>0</v>
      </c>
      <c r="O38" s="21">
        <f t="shared" si="4"/>
        <v>0</v>
      </c>
      <c r="P38" s="21">
        <v>615</v>
      </c>
      <c r="Q38" s="36">
        <f t="shared" si="5"/>
        <v>0</v>
      </c>
      <c r="R38" s="21">
        <f>IFERROR(J38/SUM($J$35:$J$40)*SUM('07_Gastos_Fijos'!$D$5:$D$9),0)</f>
        <v>408.51449275362319</v>
      </c>
      <c r="S38" s="16">
        <v>0</v>
      </c>
      <c r="T38" s="21">
        <f t="shared" si="6"/>
        <v>-408.51449275362319</v>
      </c>
      <c r="U38" s="36">
        <f t="shared" si="7"/>
        <v>0</v>
      </c>
      <c r="V38" s="3" t="str">
        <f t="shared" si="8"/>
        <v>ROJO</v>
      </c>
    </row>
    <row r="39" spans="1:22">
      <c r="A39" s="3" t="s">
        <v>1190</v>
      </c>
      <c r="B39" s="3" t="s">
        <v>1179</v>
      </c>
      <c r="C39" s="22" t="s">
        <v>1180</v>
      </c>
      <c r="D39" s="17">
        <v>1</v>
      </c>
      <c r="E39" s="17">
        <v>0</v>
      </c>
      <c r="F39" s="36">
        <f t="shared" si="0"/>
        <v>0</v>
      </c>
      <c r="G39" s="21">
        <v>350</v>
      </c>
      <c r="H39" s="21">
        <f t="shared" si="1"/>
        <v>0</v>
      </c>
      <c r="I39" s="18">
        <f t="shared" si="2"/>
        <v>-1</v>
      </c>
      <c r="J39" s="21">
        <v>350</v>
      </c>
      <c r="K39" s="16">
        <v>0</v>
      </c>
      <c r="L39" s="36">
        <f t="shared" si="3"/>
        <v>0</v>
      </c>
      <c r="M39" s="18">
        <v>0.88</v>
      </c>
      <c r="N39" s="16">
        <v>0</v>
      </c>
      <c r="O39" s="21">
        <f t="shared" si="4"/>
        <v>0</v>
      </c>
      <c r="P39" s="21">
        <v>308</v>
      </c>
      <c r="Q39" s="36">
        <f t="shared" si="5"/>
        <v>0</v>
      </c>
      <c r="R39" s="21">
        <f>IFERROR(J39/SUM($J$35:$J$40)*SUM('07_Gastos_Fijos'!$D$5:$D$9),0)</f>
        <v>190.64009661835749</v>
      </c>
      <c r="S39" s="16">
        <v>0</v>
      </c>
      <c r="T39" s="21">
        <f t="shared" si="6"/>
        <v>-190.64009661835749</v>
      </c>
      <c r="U39" s="36">
        <f t="shared" si="7"/>
        <v>0</v>
      </c>
      <c r="V39" s="3" t="str">
        <f t="shared" si="8"/>
        <v>ROJO</v>
      </c>
    </row>
    <row r="40" spans="1:22" ht="28">
      <c r="A40" s="3" t="s">
        <v>1190</v>
      </c>
      <c r="B40" s="3" t="s">
        <v>1182</v>
      </c>
      <c r="C40" s="22" t="s">
        <v>1183</v>
      </c>
      <c r="D40" s="17">
        <v>1</v>
      </c>
      <c r="E40" s="17">
        <v>0</v>
      </c>
      <c r="F40" s="36">
        <f t="shared" si="0"/>
        <v>0</v>
      </c>
      <c r="G40" s="21">
        <v>500</v>
      </c>
      <c r="H40" s="21">
        <f t="shared" si="1"/>
        <v>0</v>
      </c>
      <c r="I40" s="18">
        <f t="shared" si="2"/>
        <v>-1</v>
      </c>
      <c r="J40" s="21">
        <v>500</v>
      </c>
      <c r="K40" s="16">
        <v>0</v>
      </c>
      <c r="L40" s="36">
        <f t="shared" si="3"/>
        <v>0</v>
      </c>
      <c r="M40" s="18">
        <v>0.82</v>
      </c>
      <c r="N40" s="16">
        <v>0</v>
      </c>
      <c r="O40" s="21">
        <f t="shared" si="4"/>
        <v>0</v>
      </c>
      <c r="P40" s="21">
        <v>410</v>
      </c>
      <c r="Q40" s="36">
        <f t="shared" si="5"/>
        <v>0</v>
      </c>
      <c r="R40" s="21">
        <f>IFERROR(J40/SUM($J$35:$J$40)*SUM('07_Gastos_Fijos'!$D$5:$D$9),0)</f>
        <v>272.34299516908209</v>
      </c>
      <c r="S40" s="16">
        <v>0</v>
      </c>
      <c r="T40" s="21">
        <f t="shared" si="6"/>
        <v>-272.34299516908209</v>
      </c>
      <c r="U40" s="36">
        <f t="shared" si="7"/>
        <v>0</v>
      </c>
      <c r="V40" s="3" t="str">
        <f t="shared" si="8"/>
        <v>ROJO</v>
      </c>
    </row>
    <row r="43" spans="1:22" ht="21.4" customHeight="1">
      <c r="A43" s="76" t="s">
        <v>1743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</row>
  </sheetData>
  <mergeCells count="3">
    <mergeCell ref="A1:O1"/>
    <mergeCell ref="A2:O2"/>
    <mergeCell ref="A43:V43"/>
  </mergeCells>
  <conditionalFormatting sqref="O5:O40">
    <cfRule type="expression" dxfId="8" priority="1">
      <formula>O5="VERDE"</formula>
    </cfRule>
    <cfRule type="expression" dxfId="7" priority="2">
      <formula>O5="AMARILLO"</formula>
    </cfRule>
    <cfRule type="expression" dxfId="6" priority="3">
      <formula>O5="ROJO"</formula>
    </cfRule>
  </conditionalFormatting>
  <conditionalFormatting sqref="V5:V40">
    <cfRule type="expression" dxfId="5" priority="4">
      <formula>V5="VERDE"</formula>
    </cfRule>
    <cfRule type="expression" dxfId="4" priority="5">
      <formula>V5="AMARILLO"</formula>
    </cfRule>
    <cfRule type="expression" dxfId="3" priority="6">
      <formula>V5="ROJO"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0"/>
  <sheetViews>
    <sheetView workbookViewId="0">
      <selection sqref="A1:L1"/>
    </sheetView>
  </sheetViews>
  <sheetFormatPr baseColWidth="10" defaultColWidth="8.6640625" defaultRowHeight="14"/>
  <cols>
    <col min="1" max="1" width="18" customWidth="1"/>
    <col min="2" max="2" width="12" customWidth="1"/>
    <col min="3" max="4" width="24" customWidth="1"/>
    <col min="5" max="5" width="46" customWidth="1"/>
    <col min="6" max="6" width="16" customWidth="1"/>
    <col min="7" max="7" width="18" customWidth="1"/>
    <col min="8" max="8" width="20" customWidth="1"/>
    <col min="9" max="9" width="24" customWidth="1"/>
    <col min="10" max="10" width="16" customWidth="1"/>
    <col min="11" max="11" width="12" customWidth="1"/>
    <col min="12" max="12" width="58" customWidth="1"/>
  </cols>
  <sheetData>
    <row r="1" spans="1:12" ht="20" customHeight="1">
      <c r="A1" s="74" t="s">
        <v>1744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24" customHeight="1">
      <c r="A2" s="75" t="s">
        <v>1745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4" spans="1:12" ht="24" customHeight="1">
      <c r="A4" s="40" t="s">
        <v>1591</v>
      </c>
      <c r="B4" s="40" t="s">
        <v>900</v>
      </c>
      <c r="C4" s="40" t="s">
        <v>1746</v>
      </c>
      <c r="D4" s="40" t="s">
        <v>1747</v>
      </c>
      <c r="E4" s="40" t="s">
        <v>1748</v>
      </c>
      <c r="F4" s="40" t="s">
        <v>1749</v>
      </c>
      <c r="G4" s="40" t="s">
        <v>1750</v>
      </c>
      <c r="H4" s="40" t="s">
        <v>1751</v>
      </c>
      <c r="I4" s="40" t="s">
        <v>1752</v>
      </c>
      <c r="J4" s="40" t="s">
        <v>1753</v>
      </c>
      <c r="K4" s="40" t="s">
        <v>86</v>
      </c>
      <c r="L4" s="40" t="s">
        <v>1754</v>
      </c>
    </row>
    <row r="5" spans="1:12" ht="28">
      <c r="A5" s="3" t="s">
        <v>1755</v>
      </c>
      <c r="B5" s="3" t="s">
        <v>10</v>
      </c>
      <c r="C5" s="3" t="s">
        <v>1756</v>
      </c>
      <c r="D5" s="3" t="s">
        <v>1168</v>
      </c>
      <c r="E5" s="3" t="s">
        <v>1757</v>
      </c>
      <c r="F5" s="3" t="s">
        <v>36</v>
      </c>
      <c r="G5" s="3" t="s">
        <v>87</v>
      </c>
      <c r="H5" s="3" t="s">
        <v>1167</v>
      </c>
      <c r="I5" s="3" t="s">
        <v>1758</v>
      </c>
      <c r="J5" s="3" t="s">
        <v>1140</v>
      </c>
      <c r="K5" s="3" t="s">
        <v>90</v>
      </c>
      <c r="L5" s="3" t="s">
        <v>1759</v>
      </c>
    </row>
    <row r="6" spans="1:12">
      <c r="A6" s="3" t="s">
        <v>1760</v>
      </c>
      <c r="B6" s="3" t="s">
        <v>10</v>
      </c>
      <c r="C6" s="3" t="s">
        <v>1756</v>
      </c>
      <c r="D6" s="3" t="s">
        <v>1761</v>
      </c>
      <c r="E6" s="3" t="s">
        <v>1762</v>
      </c>
      <c r="F6" s="3" t="s">
        <v>36</v>
      </c>
      <c r="G6" s="3" t="s">
        <v>105</v>
      </c>
      <c r="H6" s="3" t="s">
        <v>1170</v>
      </c>
      <c r="I6" s="3" t="s">
        <v>1758</v>
      </c>
      <c r="J6" s="3" t="s">
        <v>1140</v>
      </c>
      <c r="K6" s="3" t="s">
        <v>90</v>
      </c>
      <c r="L6" s="3" t="s">
        <v>1763</v>
      </c>
    </row>
    <row r="7" spans="1:12" ht="28">
      <c r="A7" s="3" t="s">
        <v>1510</v>
      </c>
      <c r="B7" s="3" t="s">
        <v>10</v>
      </c>
      <c r="C7" s="3" t="s">
        <v>1756</v>
      </c>
      <c r="D7" s="3" t="s">
        <v>1174</v>
      </c>
      <c r="E7" s="3" t="s">
        <v>1764</v>
      </c>
      <c r="F7" s="3" t="s">
        <v>36</v>
      </c>
      <c r="G7" s="3" t="s">
        <v>102</v>
      </c>
      <c r="H7" s="3" t="s">
        <v>1173</v>
      </c>
      <c r="I7" s="3" t="s">
        <v>1758</v>
      </c>
      <c r="J7" s="3" t="s">
        <v>1140</v>
      </c>
      <c r="K7" s="3" t="s">
        <v>90</v>
      </c>
      <c r="L7" s="3" t="s">
        <v>1765</v>
      </c>
    </row>
    <row r="8" spans="1:12" ht="28">
      <c r="A8" s="3" t="s">
        <v>1766</v>
      </c>
      <c r="B8" s="3" t="s">
        <v>10</v>
      </c>
      <c r="C8" s="3" t="s">
        <v>1756</v>
      </c>
      <c r="D8" s="3" t="s">
        <v>1767</v>
      </c>
      <c r="E8" s="3" t="s">
        <v>1768</v>
      </c>
      <c r="F8" s="3" t="s">
        <v>36</v>
      </c>
      <c r="G8" s="3" t="s">
        <v>126</v>
      </c>
      <c r="H8" s="3" t="s">
        <v>1176</v>
      </c>
      <c r="I8" s="3" t="s">
        <v>1758</v>
      </c>
      <c r="J8" s="3" t="s">
        <v>1140</v>
      </c>
      <c r="K8" s="3" t="s">
        <v>90</v>
      </c>
      <c r="L8" s="3" t="s">
        <v>1769</v>
      </c>
    </row>
    <row r="9" spans="1:12" ht="28">
      <c r="A9" s="3" t="s">
        <v>1770</v>
      </c>
      <c r="B9" s="3" t="s">
        <v>10</v>
      </c>
      <c r="C9" s="3" t="s">
        <v>1756</v>
      </c>
      <c r="D9" s="3" t="s">
        <v>1771</v>
      </c>
      <c r="E9" s="3" t="s">
        <v>1772</v>
      </c>
      <c r="F9" s="3" t="s">
        <v>36</v>
      </c>
      <c r="G9" s="3" t="s">
        <v>99</v>
      </c>
      <c r="H9" s="3" t="s">
        <v>1179</v>
      </c>
      <c r="I9" s="3" t="s">
        <v>1758</v>
      </c>
      <c r="J9" s="3" t="s">
        <v>1140</v>
      </c>
      <c r="K9" s="3" t="s">
        <v>90</v>
      </c>
      <c r="L9" s="3" t="s">
        <v>1773</v>
      </c>
    </row>
    <row r="10" spans="1:12" ht="28">
      <c r="A10" s="3" t="s">
        <v>1774</v>
      </c>
      <c r="B10" s="3" t="s">
        <v>10</v>
      </c>
      <c r="C10" s="3" t="s">
        <v>1756</v>
      </c>
      <c r="D10" s="3" t="s">
        <v>1775</v>
      </c>
      <c r="E10" s="3" t="s">
        <v>1776</v>
      </c>
      <c r="F10" s="3" t="s">
        <v>36</v>
      </c>
      <c r="G10" s="3" t="s">
        <v>108</v>
      </c>
      <c r="H10" s="3" t="s">
        <v>1182</v>
      </c>
      <c r="I10" s="3" t="s">
        <v>1758</v>
      </c>
      <c r="J10" s="3" t="s">
        <v>1140</v>
      </c>
      <c r="K10" s="3" t="s">
        <v>90</v>
      </c>
      <c r="L10" s="3" t="s">
        <v>1777</v>
      </c>
    </row>
    <row r="11" spans="1:12">
      <c r="A11" s="3" t="s">
        <v>1778</v>
      </c>
      <c r="B11" s="3" t="s">
        <v>10</v>
      </c>
      <c r="C11" s="3" t="s">
        <v>1756</v>
      </c>
      <c r="D11" s="3" t="s">
        <v>1779</v>
      </c>
      <c r="E11" s="3" t="s">
        <v>1780</v>
      </c>
      <c r="F11" s="3" t="s">
        <v>36</v>
      </c>
      <c r="G11" s="3" t="s">
        <v>91</v>
      </c>
      <c r="H11" s="3" t="s">
        <v>1781</v>
      </c>
      <c r="I11" s="3" t="s">
        <v>1758</v>
      </c>
      <c r="J11" s="3" t="s">
        <v>1140</v>
      </c>
      <c r="K11" s="3" t="s">
        <v>90</v>
      </c>
      <c r="L11" s="3" t="s">
        <v>1782</v>
      </c>
    </row>
    <row r="12" spans="1:12">
      <c r="A12" s="3" t="s">
        <v>1783</v>
      </c>
      <c r="B12" s="3" t="s">
        <v>10</v>
      </c>
      <c r="C12" s="3" t="s">
        <v>1756</v>
      </c>
      <c r="D12" s="3" t="s">
        <v>1784</v>
      </c>
      <c r="E12" s="3" t="s">
        <v>1785</v>
      </c>
      <c r="F12" s="3" t="s">
        <v>36</v>
      </c>
      <c r="G12" s="3" t="s">
        <v>114</v>
      </c>
      <c r="H12" s="3" t="s">
        <v>1786</v>
      </c>
      <c r="I12" s="3" t="s">
        <v>1758</v>
      </c>
      <c r="J12" s="3" t="s">
        <v>1140</v>
      </c>
      <c r="K12" s="3" t="s">
        <v>90</v>
      </c>
      <c r="L12" s="3" t="s">
        <v>1787</v>
      </c>
    </row>
    <row r="13" spans="1:12">
      <c r="A13" s="3" t="s">
        <v>1788</v>
      </c>
      <c r="B13" s="3" t="s">
        <v>10</v>
      </c>
      <c r="C13" s="3" t="s">
        <v>1756</v>
      </c>
      <c r="D13" s="3" t="s">
        <v>1789</v>
      </c>
      <c r="E13" s="3" t="s">
        <v>1790</v>
      </c>
      <c r="F13" s="3" t="s">
        <v>36</v>
      </c>
      <c r="G13" s="3" t="s">
        <v>117</v>
      </c>
      <c r="H13" s="3" t="s">
        <v>1791</v>
      </c>
      <c r="I13" s="3" t="s">
        <v>1758</v>
      </c>
      <c r="J13" s="3" t="s">
        <v>1140</v>
      </c>
      <c r="K13" s="3" t="s">
        <v>90</v>
      </c>
      <c r="L13" s="3" t="s">
        <v>1792</v>
      </c>
    </row>
    <row r="14" spans="1:12" ht="28">
      <c r="A14" s="3" t="s">
        <v>1793</v>
      </c>
      <c r="B14" s="3" t="s">
        <v>10</v>
      </c>
      <c r="C14" s="3" t="s">
        <v>1756</v>
      </c>
      <c r="D14" s="3" t="s">
        <v>1794</v>
      </c>
      <c r="E14" s="3" t="s">
        <v>1795</v>
      </c>
      <c r="F14" s="3" t="s">
        <v>36</v>
      </c>
      <c r="G14" s="3" t="s">
        <v>120</v>
      </c>
      <c r="H14" s="3" t="s">
        <v>1796</v>
      </c>
      <c r="I14" s="3" t="s">
        <v>1758</v>
      </c>
      <c r="J14" s="3" t="s">
        <v>1140</v>
      </c>
      <c r="K14" s="3" t="s">
        <v>90</v>
      </c>
      <c r="L14" s="3" t="s">
        <v>1797</v>
      </c>
    </row>
    <row r="15" spans="1:12">
      <c r="A15" s="3" t="s">
        <v>1798</v>
      </c>
      <c r="B15" s="3" t="s">
        <v>10</v>
      </c>
      <c r="C15" s="3" t="s">
        <v>1756</v>
      </c>
      <c r="D15" s="3" t="s">
        <v>1799</v>
      </c>
      <c r="E15" s="3" t="s">
        <v>1800</v>
      </c>
      <c r="F15" s="3" t="s">
        <v>36</v>
      </c>
      <c r="G15" s="3" t="s">
        <v>123</v>
      </c>
      <c r="H15" s="3" t="s">
        <v>1801</v>
      </c>
      <c r="I15" s="3" t="s">
        <v>1758</v>
      </c>
      <c r="J15" s="3" t="s">
        <v>1140</v>
      </c>
      <c r="K15" s="3" t="s">
        <v>90</v>
      </c>
      <c r="L15" s="3" t="s">
        <v>1802</v>
      </c>
    </row>
    <row r="16" spans="1:12" ht="28">
      <c r="A16" s="3" t="s">
        <v>1803</v>
      </c>
      <c r="B16" s="3" t="s">
        <v>10</v>
      </c>
      <c r="C16" s="3" t="s">
        <v>1756</v>
      </c>
      <c r="D16" s="3" t="s">
        <v>1804</v>
      </c>
      <c r="E16" s="3" t="s">
        <v>1805</v>
      </c>
      <c r="F16" s="3" t="s">
        <v>36</v>
      </c>
      <c r="G16" s="3" t="s">
        <v>129</v>
      </c>
      <c r="H16" s="3" t="s">
        <v>1806</v>
      </c>
      <c r="I16" s="3" t="s">
        <v>1758</v>
      </c>
      <c r="J16" s="3" t="s">
        <v>1140</v>
      </c>
      <c r="K16" s="3" t="s">
        <v>90</v>
      </c>
      <c r="L16" s="3" t="s">
        <v>1807</v>
      </c>
    </row>
    <row r="17" spans="1:12" ht="28">
      <c r="A17" s="3" t="s">
        <v>1808</v>
      </c>
      <c r="B17" s="3" t="s">
        <v>10</v>
      </c>
      <c r="C17" s="3" t="s">
        <v>1809</v>
      </c>
      <c r="D17" s="3" t="s">
        <v>1810</v>
      </c>
      <c r="E17" s="3" t="s">
        <v>1811</v>
      </c>
      <c r="F17" s="3" t="s">
        <v>1812</v>
      </c>
      <c r="G17" s="3"/>
      <c r="H17" s="3"/>
      <c r="I17" s="3" t="s">
        <v>60</v>
      </c>
      <c r="J17" s="3" t="s">
        <v>1140</v>
      </c>
      <c r="K17" s="3" t="s">
        <v>90</v>
      </c>
      <c r="L17" s="3" t="s">
        <v>1813</v>
      </c>
    </row>
    <row r="18" spans="1:12">
      <c r="A18" s="3" t="s">
        <v>1814</v>
      </c>
      <c r="B18" s="3" t="s">
        <v>942</v>
      </c>
      <c r="C18" s="3" t="s">
        <v>1815</v>
      </c>
      <c r="D18" s="3" t="s">
        <v>1107</v>
      </c>
      <c r="E18" s="3" t="s">
        <v>1816</v>
      </c>
      <c r="F18" s="3" t="s">
        <v>1108</v>
      </c>
      <c r="G18" s="3"/>
      <c r="H18" s="3"/>
      <c r="I18" s="3" t="s">
        <v>1758</v>
      </c>
      <c r="J18" s="3" t="s">
        <v>1140</v>
      </c>
      <c r="K18" s="3" t="s">
        <v>90</v>
      </c>
      <c r="L18" s="3" t="s">
        <v>1817</v>
      </c>
    </row>
    <row r="19" spans="1:12">
      <c r="A19" s="3" t="s">
        <v>1818</v>
      </c>
      <c r="B19" s="3" t="s">
        <v>942</v>
      </c>
      <c r="C19" s="3" t="s">
        <v>1815</v>
      </c>
      <c r="D19" s="3" t="s">
        <v>1107</v>
      </c>
      <c r="E19" s="3" t="s">
        <v>1819</v>
      </c>
      <c r="F19" s="3" t="s">
        <v>1108</v>
      </c>
      <c r="G19" s="3"/>
      <c r="H19" s="3"/>
      <c r="I19" s="3" t="s">
        <v>1758</v>
      </c>
      <c r="J19" s="3" t="s">
        <v>1140</v>
      </c>
      <c r="K19" s="3" t="s">
        <v>90</v>
      </c>
      <c r="L19" s="3" t="s">
        <v>1817</v>
      </c>
    </row>
    <row r="20" spans="1:12">
      <c r="A20" s="3" t="s">
        <v>1820</v>
      </c>
      <c r="B20" s="3" t="s">
        <v>942</v>
      </c>
      <c r="C20" s="3" t="s">
        <v>1815</v>
      </c>
      <c r="D20" s="3" t="s">
        <v>1107</v>
      </c>
      <c r="E20" s="3" t="s">
        <v>1821</v>
      </c>
      <c r="F20" s="3" t="s">
        <v>1108</v>
      </c>
      <c r="G20" s="3"/>
      <c r="H20" s="3"/>
      <c r="I20" s="3" t="s">
        <v>1822</v>
      </c>
      <c r="J20" s="3" t="s">
        <v>1140</v>
      </c>
      <c r="K20" s="3" t="s">
        <v>90</v>
      </c>
      <c r="L20" s="3" t="s">
        <v>1817</v>
      </c>
    </row>
    <row r="21" spans="1:12">
      <c r="A21" s="3" t="s">
        <v>1823</v>
      </c>
      <c r="B21" s="3" t="s">
        <v>942</v>
      </c>
      <c r="C21" s="3" t="s">
        <v>1815</v>
      </c>
      <c r="D21" s="3" t="s">
        <v>1134</v>
      </c>
      <c r="E21" s="3" t="s">
        <v>1129</v>
      </c>
      <c r="F21" s="3" t="s">
        <v>1134</v>
      </c>
      <c r="G21" s="3"/>
      <c r="H21" s="3"/>
      <c r="I21" s="3" t="s">
        <v>1824</v>
      </c>
      <c r="J21" s="3" t="s">
        <v>1140</v>
      </c>
      <c r="K21" s="3" t="s">
        <v>90</v>
      </c>
      <c r="L21" s="3" t="s">
        <v>1825</v>
      </c>
    </row>
    <row r="22" spans="1:12">
      <c r="A22" s="3" t="s">
        <v>1521</v>
      </c>
      <c r="B22" s="3" t="s">
        <v>942</v>
      </c>
      <c r="C22" s="3" t="s">
        <v>1826</v>
      </c>
      <c r="D22" s="3" t="s">
        <v>1827</v>
      </c>
      <c r="E22" s="3" t="s">
        <v>1828</v>
      </c>
      <c r="F22" s="3" t="s">
        <v>1108</v>
      </c>
      <c r="G22" s="3"/>
      <c r="H22" s="3"/>
      <c r="I22" s="3" t="s">
        <v>60</v>
      </c>
      <c r="J22" s="3" t="s">
        <v>1140</v>
      </c>
      <c r="K22" s="3" t="s">
        <v>90</v>
      </c>
      <c r="L22" s="3" t="s">
        <v>1829</v>
      </c>
    </row>
    <row r="23" spans="1:12">
      <c r="A23" s="3" t="s">
        <v>1830</v>
      </c>
      <c r="B23" s="3" t="s">
        <v>942</v>
      </c>
      <c r="C23" s="3" t="s">
        <v>1831</v>
      </c>
      <c r="D23" s="3" t="s">
        <v>1035</v>
      </c>
      <c r="E23" s="3" t="s">
        <v>1832</v>
      </c>
      <c r="F23" s="3" t="s">
        <v>1108</v>
      </c>
      <c r="G23" s="3"/>
      <c r="H23" s="3"/>
      <c r="I23" s="3" t="s">
        <v>60</v>
      </c>
      <c r="J23" s="3" t="s">
        <v>1140</v>
      </c>
      <c r="K23" s="3" t="s">
        <v>90</v>
      </c>
      <c r="L23" s="3" t="s">
        <v>1817</v>
      </c>
    </row>
    <row r="24" spans="1:12">
      <c r="A24" s="3" t="s">
        <v>1833</v>
      </c>
      <c r="B24" s="3" t="s">
        <v>942</v>
      </c>
      <c r="C24" s="3" t="s">
        <v>1831</v>
      </c>
      <c r="D24" s="3" t="s">
        <v>1834</v>
      </c>
      <c r="E24" s="3" t="s">
        <v>968</v>
      </c>
      <c r="F24" s="3" t="s">
        <v>1134</v>
      </c>
      <c r="G24" s="3"/>
      <c r="H24" s="3"/>
      <c r="I24" s="3" t="s">
        <v>60</v>
      </c>
      <c r="J24" s="3" t="s">
        <v>1140</v>
      </c>
      <c r="K24" s="3" t="s">
        <v>90</v>
      </c>
      <c r="L24" s="3" t="s">
        <v>1835</v>
      </c>
    </row>
    <row r="25" spans="1:12">
      <c r="A25" s="3" t="s">
        <v>1836</v>
      </c>
      <c r="B25" s="3" t="s">
        <v>942</v>
      </c>
      <c r="C25" s="3" t="s">
        <v>1831</v>
      </c>
      <c r="D25" s="3" t="s">
        <v>1837</v>
      </c>
      <c r="E25" s="3" t="s">
        <v>1838</v>
      </c>
      <c r="F25" s="3" t="s">
        <v>1134</v>
      </c>
      <c r="G25" s="3"/>
      <c r="H25" s="3"/>
      <c r="I25" s="3" t="s">
        <v>60</v>
      </c>
      <c r="J25" s="3" t="s">
        <v>1140</v>
      </c>
      <c r="K25" s="3" t="s">
        <v>90</v>
      </c>
      <c r="L25" s="3" t="s">
        <v>1839</v>
      </c>
    </row>
    <row r="26" spans="1:12">
      <c r="A26" s="3" t="s">
        <v>1840</v>
      </c>
      <c r="B26" s="3" t="s">
        <v>942</v>
      </c>
      <c r="C26" s="3" t="s">
        <v>60</v>
      </c>
      <c r="D26" s="3" t="s">
        <v>1841</v>
      </c>
      <c r="E26" s="3" t="s">
        <v>1842</v>
      </c>
      <c r="F26" s="3" t="s">
        <v>1134</v>
      </c>
      <c r="G26" s="3"/>
      <c r="H26" s="3"/>
      <c r="I26" s="3" t="s">
        <v>60</v>
      </c>
      <c r="J26" s="3" t="s">
        <v>1140</v>
      </c>
      <c r="K26" s="3" t="s">
        <v>90</v>
      </c>
      <c r="L26" s="3" t="s">
        <v>1843</v>
      </c>
    </row>
    <row r="27" spans="1:12">
      <c r="A27" s="3" t="s">
        <v>1844</v>
      </c>
      <c r="B27" s="3" t="s">
        <v>942</v>
      </c>
      <c r="C27" s="3" t="s">
        <v>60</v>
      </c>
      <c r="D27" s="3" t="s">
        <v>1004</v>
      </c>
      <c r="E27" s="3" t="s">
        <v>1845</v>
      </c>
      <c r="F27" s="3" t="s">
        <v>1134</v>
      </c>
      <c r="G27" s="3"/>
      <c r="H27" s="3"/>
      <c r="I27" s="3" t="s">
        <v>60</v>
      </c>
      <c r="J27" s="3" t="s">
        <v>1140</v>
      </c>
      <c r="K27" s="3" t="s">
        <v>90</v>
      </c>
      <c r="L27" s="3" t="s">
        <v>1846</v>
      </c>
    </row>
    <row r="28" spans="1:12">
      <c r="A28" s="3" t="s">
        <v>1847</v>
      </c>
      <c r="B28" s="3" t="s">
        <v>942</v>
      </c>
      <c r="C28" s="3" t="s">
        <v>60</v>
      </c>
      <c r="D28" s="3" t="s">
        <v>967</v>
      </c>
      <c r="E28" s="3" t="s">
        <v>1848</v>
      </c>
      <c r="F28" s="3" t="s">
        <v>1134</v>
      </c>
      <c r="G28" s="3"/>
      <c r="H28" s="3"/>
      <c r="I28" s="3" t="s">
        <v>60</v>
      </c>
      <c r="J28" s="3" t="s">
        <v>1140</v>
      </c>
      <c r="K28" s="3" t="s">
        <v>90</v>
      </c>
      <c r="L28" s="3" t="s">
        <v>1849</v>
      </c>
    </row>
    <row r="29" spans="1:12">
      <c r="A29" s="3" t="s">
        <v>1850</v>
      </c>
      <c r="B29" s="3" t="s">
        <v>942</v>
      </c>
      <c r="C29" s="3" t="s">
        <v>1851</v>
      </c>
      <c r="D29" s="3" t="s">
        <v>1852</v>
      </c>
      <c r="E29" s="3" t="s">
        <v>1853</v>
      </c>
      <c r="F29" s="3" t="s">
        <v>1854</v>
      </c>
      <c r="G29" s="3"/>
      <c r="H29" s="3"/>
      <c r="I29" s="3" t="s">
        <v>1851</v>
      </c>
      <c r="J29" s="3" t="s">
        <v>1140</v>
      </c>
      <c r="K29" s="3" t="s">
        <v>90</v>
      </c>
      <c r="L29" s="3" t="s">
        <v>1855</v>
      </c>
    </row>
    <row r="30" spans="1:12">
      <c r="A30" s="3" t="s">
        <v>1856</v>
      </c>
      <c r="B30" s="3" t="s">
        <v>942</v>
      </c>
      <c r="C30" s="3" t="s">
        <v>1857</v>
      </c>
      <c r="D30" s="3" t="s">
        <v>1858</v>
      </c>
      <c r="E30" s="3" t="s">
        <v>1859</v>
      </c>
      <c r="F30" s="3" t="s">
        <v>1134</v>
      </c>
      <c r="G30" s="3"/>
      <c r="H30" s="3"/>
      <c r="I30" s="3" t="s">
        <v>1824</v>
      </c>
      <c r="J30" s="3" t="s">
        <v>1140</v>
      </c>
      <c r="K30" s="3" t="s">
        <v>90</v>
      </c>
      <c r="L30" s="3" t="s">
        <v>1860</v>
      </c>
    </row>
    <row r="31" spans="1:12">
      <c r="A31" s="3" t="s">
        <v>1861</v>
      </c>
      <c r="B31" s="3" t="s">
        <v>942</v>
      </c>
      <c r="C31" s="3" t="s">
        <v>1857</v>
      </c>
      <c r="D31" s="3" t="s">
        <v>39</v>
      </c>
      <c r="E31" s="3" t="s">
        <v>1862</v>
      </c>
      <c r="F31" s="3" t="s">
        <v>1134</v>
      </c>
      <c r="G31" s="3"/>
      <c r="H31" s="3"/>
      <c r="I31" s="3" t="s">
        <v>1824</v>
      </c>
      <c r="J31" s="3" t="s">
        <v>1140</v>
      </c>
      <c r="K31" s="3" t="s">
        <v>90</v>
      </c>
      <c r="L31" s="3" t="s">
        <v>1863</v>
      </c>
    </row>
    <row r="32" spans="1:12">
      <c r="A32" s="3" t="s">
        <v>1864</v>
      </c>
      <c r="B32" s="3" t="s">
        <v>942</v>
      </c>
      <c r="C32" s="3" t="s">
        <v>1824</v>
      </c>
      <c r="D32" s="3" t="s">
        <v>1865</v>
      </c>
      <c r="E32" s="3" t="s">
        <v>1866</v>
      </c>
      <c r="F32" s="3" t="s">
        <v>1134</v>
      </c>
      <c r="G32" s="3"/>
      <c r="H32" s="3"/>
      <c r="I32" s="3" t="s">
        <v>1824</v>
      </c>
      <c r="J32" s="3" t="s">
        <v>1140</v>
      </c>
      <c r="K32" s="3" t="s">
        <v>90</v>
      </c>
      <c r="L32" s="3" t="s">
        <v>1867</v>
      </c>
    </row>
    <row r="33" spans="1:12">
      <c r="A33" s="3" t="s">
        <v>1868</v>
      </c>
      <c r="B33" s="3" t="s">
        <v>942</v>
      </c>
      <c r="C33" s="3" t="s">
        <v>1869</v>
      </c>
      <c r="D33" s="3" t="s">
        <v>1870</v>
      </c>
      <c r="E33" s="3" t="s">
        <v>1871</v>
      </c>
      <c r="F33" s="3" t="s">
        <v>1134</v>
      </c>
      <c r="G33" s="3"/>
      <c r="H33" s="3"/>
      <c r="I33" s="3" t="s">
        <v>1758</v>
      </c>
      <c r="J33" s="3" t="s">
        <v>1140</v>
      </c>
      <c r="K33" s="3" t="s">
        <v>90</v>
      </c>
      <c r="L33" s="3" t="s">
        <v>1872</v>
      </c>
    </row>
    <row r="34" spans="1:12">
      <c r="A34" s="3" t="s">
        <v>1873</v>
      </c>
      <c r="B34" s="3" t="s">
        <v>942</v>
      </c>
      <c r="C34" s="3" t="s">
        <v>1874</v>
      </c>
      <c r="D34" s="3" t="s">
        <v>1875</v>
      </c>
      <c r="E34" s="3" t="s">
        <v>1876</v>
      </c>
      <c r="F34" s="3" t="s">
        <v>1134</v>
      </c>
      <c r="G34" s="3"/>
      <c r="H34" s="3"/>
      <c r="I34" s="3" t="s">
        <v>1758</v>
      </c>
      <c r="J34" s="3" t="s">
        <v>1140</v>
      </c>
      <c r="K34" s="3" t="s">
        <v>90</v>
      </c>
      <c r="L34" s="3" t="s">
        <v>1877</v>
      </c>
    </row>
    <row r="35" spans="1:12">
      <c r="A35" s="3" t="s">
        <v>1878</v>
      </c>
      <c r="B35" s="3" t="s">
        <v>942</v>
      </c>
      <c r="C35" s="3" t="s">
        <v>1874</v>
      </c>
      <c r="D35" s="3" t="s">
        <v>1879</v>
      </c>
      <c r="E35" s="3" t="s">
        <v>1880</v>
      </c>
      <c r="F35" s="3" t="s">
        <v>1881</v>
      </c>
      <c r="G35" s="3"/>
      <c r="H35" s="3"/>
      <c r="I35" s="3" t="s">
        <v>1758</v>
      </c>
      <c r="J35" s="3" t="s">
        <v>1140</v>
      </c>
      <c r="K35" s="3" t="s">
        <v>90</v>
      </c>
      <c r="L35" s="3" t="s">
        <v>1882</v>
      </c>
    </row>
    <row r="36" spans="1:12">
      <c r="A36" s="3" t="s">
        <v>1883</v>
      </c>
      <c r="B36" s="3" t="s">
        <v>942</v>
      </c>
      <c r="C36" s="3" t="s">
        <v>1874</v>
      </c>
      <c r="D36" s="3" t="s">
        <v>1884</v>
      </c>
      <c r="E36" s="3" t="s">
        <v>1885</v>
      </c>
      <c r="F36" s="3" t="s">
        <v>1881</v>
      </c>
      <c r="G36" s="3"/>
      <c r="H36" s="3"/>
      <c r="I36" s="3" t="s">
        <v>1758</v>
      </c>
      <c r="J36" s="3" t="s">
        <v>1140</v>
      </c>
      <c r="K36" s="3" t="s">
        <v>90</v>
      </c>
      <c r="L36" s="3" t="s">
        <v>1886</v>
      </c>
    </row>
    <row r="37" spans="1:12">
      <c r="A37" s="3" t="s">
        <v>1887</v>
      </c>
      <c r="B37" s="3" t="s">
        <v>942</v>
      </c>
      <c r="C37" s="3" t="s">
        <v>1888</v>
      </c>
      <c r="D37" s="3" t="s">
        <v>1889</v>
      </c>
      <c r="E37" s="3" t="s">
        <v>1890</v>
      </c>
      <c r="F37" s="3" t="s">
        <v>1134</v>
      </c>
      <c r="G37" s="3"/>
      <c r="H37" s="3"/>
      <c r="I37" s="3" t="s">
        <v>60</v>
      </c>
      <c r="J37" s="3" t="s">
        <v>1140</v>
      </c>
      <c r="K37" s="3" t="s">
        <v>90</v>
      </c>
      <c r="L37" s="3" t="s">
        <v>1891</v>
      </c>
    </row>
    <row r="38" spans="1:12">
      <c r="A38" s="3" t="s">
        <v>1892</v>
      </c>
      <c r="B38" s="3" t="s">
        <v>942</v>
      </c>
      <c r="C38" s="3" t="s">
        <v>1893</v>
      </c>
      <c r="D38" s="3" t="s">
        <v>1894</v>
      </c>
      <c r="E38" s="3" t="s">
        <v>1895</v>
      </c>
      <c r="F38" s="3" t="s">
        <v>1893</v>
      </c>
      <c r="G38" s="3"/>
      <c r="H38" s="3"/>
      <c r="I38" s="3" t="s">
        <v>60</v>
      </c>
      <c r="J38" s="3" t="s">
        <v>1135</v>
      </c>
      <c r="K38" s="3" t="s">
        <v>90</v>
      </c>
      <c r="L38" s="3" t="s">
        <v>1896</v>
      </c>
    </row>
    <row r="39" spans="1:12">
      <c r="A39" s="3" t="s">
        <v>1897</v>
      </c>
      <c r="B39" s="3" t="s">
        <v>942</v>
      </c>
      <c r="C39" s="3" t="s">
        <v>1812</v>
      </c>
      <c r="D39" s="3" t="s">
        <v>1898</v>
      </c>
      <c r="E39" s="3" t="s">
        <v>1899</v>
      </c>
      <c r="F39" s="3" t="s">
        <v>1134</v>
      </c>
      <c r="G39" s="3"/>
      <c r="H39" s="3"/>
      <c r="I39" s="3" t="s">
        <v>60</v>
      </c>
      <c r="J39" s="3" t="s">
        <v>1140</v>
      </c>
      <c r="K39" s="3" t="s">
        <v>90</v>
      </c>
      <c r="L39" s="3" t="s">
        <v>1900</v>
      </c>
    </row>
    <row r="40" spans="1:12" ht="28">
      <c r="A40" s="3" t="s">
        <v>1590</v>
      </c>
      <c r="B40" s="3" t="s">
        <v>10</v>
      </c>
      <c r="C40" s="3" t="s">
        <v>1756</v>
      </c>
      <c r="D40" s="3" t="s">
        <v>94</v>
      </c>
      <c r="E40" s="3" t="s">
        <v>1901</v>
      </c>
      <c r="F40" s="3" t="s">
        <v>36</v>
      </c>
      <c r="G40" s="3" t="s">
        <v>69</v>
      </c>
      <c r="H40" s="3" t="s">
        <v>1902</v>
      </c>
      <c r="I40" s="3" t="s">
        <v>1758</v>
      </c>
      <c r="J40" s="3" t="s">
        <v>1140</v>
      </c>
      <c r="K40" s="3" t="s">
        <v>90</v>
      </c>
      <c r="L40" s="3" t="s">
        <v>1903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500"/>
  <sheetViews>
    <sheetView topLeftCell="B1" workbookViewId="0">
      <selection activeCell="F15" sqref="F15"/>
    </sheetView>
  </sheetViews>
  <sheetFormatPr baseColWidth="10" defaultColWidth="8.6640625" defaultRowHeight="14"/>
  <cols>
    <col min="1" max="1" width="18" customWidth="1"/>
    <col min="2" max="2" width="14" customWidth="1"/>
    <col min="3" max="4" width="12" customWidth="1"/>
    <col min="5" max="5" width="18" customWidth="1"/>
    <col min="6" max="6" width="44" customWidth="1"/>
    <col min="7" max="7" width="28" customWidth="1"/>
    <col min="8" max="8" width="18" customWidth="1"/>
    <col min="9" max="9" width="22" customWidth="1"/>
    <col min="10" max="10" width="42" customWidth="1"/>
    <col min="11" max="11" width="14" customWidth="1"/>
    <col min="12" max="12" width="18" customWidth="1"/>
    <col min="13" max="14" width="16" customWidth="1"/>
    <col min="15" max="16" width="20" customWidth="1"/>
    <col min="17" max="17" width="14" customWidth="1"/>
    <col min="18" max="18" width="48" customWidth="1"/>
  </cols>
  <sheetData>
    <row r="1" spans="1:18" ht="20" customHeight="1">
      <c r="A1" s="74" t="s">
        <v>1904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4" customHeight="1">
      <c r="A2" s="75" t="s">
        <v>1905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4" spans="1:18" ht="24" customHeight="1">
      <c r="A4" s="40" t="s">
        <v>1906</v>
      </c>
      <c r="B4" s="40" t="s">
        <v>896</v>
      </c>
      <c r="C4" s="40" t="s">
        <v>897</v>
      </c>
      <c r="D4" s="40" t="s">
        <v>900</v>
      </c>
      <c r="E4" s="40" t="s">
        <v>1591</v>
      </c>
      <c r="F4" s="40" t="s">
        <v>1907</v>
      </c>
      <c r="G4" s="40" t="s">
        <v>1908</v>
      </c>
      <c r="H4" s="40" t="s">
        <v>1909</v>
      </c>
      <c r="I4" s="40" t="s">
        <v>378</v>
      </c>
      <c r="J4" s="40" t="s">
        <v>381</v>
      </c>
      <c r="K4" s="40" t="s">
        <v>84</v>
      </c>
      <c r="L4" s="40" t="s">
        <v>139</v>
      </c>
      <c r="M4" s="40" t="s">
        <v>1910</v>
      </c>
      <c r="N4" s="40" t="s">
        <v>1911</v>
      </c>
      <c r="O4" s="40" t="s">
        <v>1912</v>
      </c>
      <c r="P4" s="40" t="s">
        <v>1913</v>
      </c>
      <c r="Q4" s="40" t="s">
        <v>86</v>
      </c>
      <c r="R4" s="40" t="s">
        <v>1351</v>
      </c>
    </row>
    <row r="5" spans="1:18">
      <c r="A5" s="3" t="s">
        <v>1914</v>
      </c>
      <c r="B5" s="41">
        <v>46218</v>
      </c>
      <c r="C5" s="3" t="s">
        <v>1027</v>
      </c>
      <c r="D5" s="3" t="s">
        <v>10</v>
      </c>
      <c r="E5" s="3" t="s">
        <v>1766</v>
      </c>
      <c r="F5" s="3" t="s">
        <v>1768</v>
      </c>
      <c r="G5" s="3" t="s">
        <v>952</v>
      </c>
      <c r="H5" s="3" t="s">
        <v>1915</v>
      </c>
      <c r="I5" s="3" t="s">
        <v>420</v>
      </c>
      <c r="J5" s="3" t="s">
        <v>421</v>
      </c>
      <c r="K5" s="3" t="s">
        <v>87</v>
      </c>
      <c r="L5" s="3" t="s">
        <v>150</v>
      </c>
      <c r="M5" s="21">
        <v>200</v>
      </c>
      <c r="N5" s="21">
        <v>0</v>
      </c>
      <c r="O5" s="21">
        <v>0</v>
      </c>
      <c r="P5" s="21">
        <v>200</v>
      </c>
      <c r="Q5" s="3" t="s">
        <v>907</v>
      </c>
      <c r="R5" s="3" t="s">
        <v>1916</v>
      </c>
    </row>
    <row r="6" spans="1:18">
      <c r="A6" s="3" t="s">
        <v>1917</v>
      </c>
      <c r="B6" s="41">
        <v>46221</v>
      </c>
      <c r="C6" s="3" t="s">
        <v>1027</v>
      </c>
      <c r="D6" s="3" t="s">
        <v>942</v>
      </c>
      <c r="E6" s="3" t="s">
        <v>1878</v>
      </c>
      <c r="F6" s="3" t="s">
        <v>1880</v>
      </c>
      <c r="G6" s="3" t="s">
        <v>1918</v>
      </c>
      <c r="H6" s="3" t="s">
        <v>1919</v>
      </c>
      <c r="I6" s="3" t="s">
        <v>420</v>
      </c>
      <c r="J6" s="3" t="s">
        <v>421</v>
      </c>
      <c r="K6" s="3" t="s">
        <v>87</v>
      </c>
      <c r="L6" s="3" t="s">
        <v>150</v>
      </c>
      <c r="M6" s="21">
        <v>23.75</v>
      </c>
      <c r="N6" s="21">
        <v>0</v>
      </c>
      <c r="O6" s="21">
        <v>23.75</v>
      </c>
      <c r="P6" s="21">
        <v>0</v>
      </c>
      <c r="Q6" s="3" t="s">
        <v>943</v>
      </c>
      <c r="R6" s="3" t="s">
        <v>1920</v>
      </c>
    </row>
    <row r="7" spans="1:18">
      <c r="A7" s="3" t="s">
        <v>1921</v>
      </c>
      <c r="B7" s="41">
        <v>46234</v>
      </c>
      <c r="C7" s="3" t="s">
        <v>1027</v>
      </c>
      <c r="D7" s="3" t="s">
        <v>942</v>
      </c>
      <c r="E7" s="3" t="s">
        <v>1820</v>
      </c>
      <c r="F7" s="3" t="s">
        <v>1821</v>
      </c>
      <c r="G7" s="3" t="s">
        <v>1096</v>
      </c>
      <c r="H7" s="3"/>
      <c r="I7" s="3"/>
      <c r="J7" s="3"/>
      <c r="K7" s="3"/>
      <c r="L7" s="3"/>
      <c r="M7" s="21">
        <v>250</v>
      </c>
      <c r="N7" s="21">
        <v>0</v>
      </c>
      <c r="O7" s="21">
        <v>0</v>
      </c>
      <c r="P7" s="21">
        <v>250</v>
      </c>
      <c r="Q7" s="3" t="s">
        <v>943</v>
      </c>
      <c r="R7" s="3" t="s">
        <v>1922</v>
      </c>
    </row>
    <row r="8" spans="1:18">
      <c r="A8" s="3"/>
      <c r="B8" s="41"/>
      <c r="C8" s="3"/>
      <c r="D8" s="3"/>
      <c r="E8" s="3"/>
      <c r="F8" s="3"/>
      <c r="G8" s="3"/>
      <c r="H8" s="3"/>
      <c r="I8" s="3"/>
      <c r="J8" s="3"/>
      <c r="K8" s="3"/>
      <c r="L8" s="3"/>
      <c r="M8" s="21"/>
      <c r="N8" s="21"/>
      <c r="O8" s="21"/>
      <c r="P8" s="21"/>
      <c r="Q8" s="3"/>
      <c r="R8" s="3"/>
    </row>
    <row r="9" spans="1:18">
      <c r="A9" s="3"/>
      <c r="B9" s="41"/>
      <c r="C9" s="3"/>
      <c r="D9" s="3"/>
      <c r="E9" s="3"/>
      <c r="F9" s="3"/>
      <c r="G9" s="3"/>
      <c r="H9" s="3"/>
      <c r="I9" s="3"/>
      <c r="J9" s="3"/>
      <c r="K9" s="3"/>
      <c r="L9" s="3"/>
      <c r="M9" s="21"/>
      <c r="N9" s="21"/>
      <c r="O9" s="21"/>
      <c r="P9" s="21"/>
      <c r="Q9" s="3"/>
      <c r="R9" s="3"/>
    </row>
    <row r="10" spans="1:18">
      <c r="A10" s="3"/>
      <c r="B10" s="41"/>
      <c r="C10" s="3"/>
      <c r="D10" s="3"/>
      <c r="E10" s="3"/>
      <c r="F10" s="3"/>
      <c r="G10" s="3"/>
      <c r="H10" s="3"/>
      <c r="I10" s="3"/>
      <c r="J10" s="3"/>
      <c r="K10" s="3"/>
      <c r="L10" s="3"/>
      <c r="M10" s="21"/>
      <c r="N10" s="21"/>
      <c r="O10" s="21"/>
      <c r="P10" s="21"/>
      <c r="Q10" s="3"/>
      <c r="R10" s="3"/>
    </row>
    <row r="11" spans="1:18">
      <c r="A11" s="3"/>
      <c r="B11" s="41"/>
      <c r="C11" s="3"/>
      <c r="D11" s="3"/>
      <c r="E11" s="3"/>
      <c r="F11" s="3"/>
      <c r="G11" s="3"/>
      <c r="H11" s="3"/>
      <c r="I11" s="3"/>
      <c r="J11" s="3"/>
      <c r="K11" s="3"/>
      <c r="L11" s="3"/>
      <c r="M11" s="21"/>
      <c r="N11" s="21"/>
      <c r="O11" s="21"/>
      <c r="P11" s="21"/>
      <c r="Q11" s="3"/>
      <c r="R11" s="3"/>
    </row>
    <row r="12" spans="1:18">
      <c r="A12" s="3"/>
      <c r="B12" s="41"/>
      <c r="C12" s="3"/>
      <c r="D12" s="3"/>
      <c r="E12" s="3"/>
      <c r="F12" s="3"/>
      <c r="G12" s="3"/>
      <c r="H12" s="3"/>
      <c r="I12" s="3"/>
      <c r="J12" s="3"/>
      <c r="K12" s="3"/>
      <c r="L12" s="3"/>
      <c r="M12" s="21"/>
      <c r="N12" s="21"/>
      <c r="O12" s="21"/>
      <c r="P12" s="21"/>
      <c r="Q12" s="3"/>
      <c r="R12" s="3"/>
    </row>
    <row r="13" spans="1:18">
      <c r="A13" s="3"/>
      <c r="B13" s="41"/>
      <c r="C13" s="3"/>
      <c r="D13" s="3"/>
      <c r="E13" s="3"/>
      <c r="F13" s="3"/>
      <c r="G13" s="3"/>
      <c r="H13" s="3"/>
      <c r="I13" s="3"/>
      <c r="J13" s="3"/>
      <c r="K13" s="3"/>
      <c r="L13" s="3"/>
      <c r="M13" s="21"/>
      <c r="N13" s="21"/>
      <c r="O13" s="21"/>
      <c r="P13" s="21"/>
      <c r="Q13" s="3"/>
      <c r="R13" s="3"/>
    </row>
    <row r="14" spans="1:18">
      <c r="A14" s="3"/>
      <c r="B14" s="41"/>
      <c r="C14" s="3"/>
      <c r="D14" s="3"/>
      <c r="E14" s="3"/>
      <c r="F14" s="3"/>
      <c r="G14" s="3"/>
      <c r="H14" s="3"/>
      <c r="I14" s="3"/>
      <c r="J14" s="3"/>
      <c r="K14" s="3"/>
      <c r="L14" s="3"/>
      <c r="M14" s="21"/>
      <c r="N14" s="21"/>
      <c r="O14" s="21"/>
      <c r="P14" s="21"/>
      <c r="Q14" s="3"/>
      <c r="R14" s="3"/>
    </row>
    <row r="15" spans="1:18">
      <c r="A15" s="3"/>
      <c r="B15" s="41"/>
      <c r="C15" s="3"/>
      <c r="D15" s="3"/>
      <c r="E15" s="3"/>
      <c r="F15" s="3"/>
      <c r="G15" s="3"/>
      <c r="H15" s="3"/>
      <c r="I15" s="3"/>
      <c r="J15" s="3"/>
      <c r="K15" s="3"/>
      <c r="L15" s="3"/>
      <c r="M15" s="21"/>
      <c r="N15" s="21"/>
      <c r="O15" s="21"/>
      <c r="P15" s="21"/>
      <c r="Q15" s="3"/>
      <c r="R15" s="3"/>
    </row>
    <row r="16" spans="1:18">
      <c r="A16" s="3"/>
      <c r="B16" s="41"/>
      <c r="C16" s="3"/>
      <c r="D16" s="3"/>
      <c r="E16" s="3"/>
      <c r="F16" s="3"/>
      <c r="G16" s="3"/>
      <c r="H16" s="3"/>
      <c r="I16" s="3"/>
      <c r="J16" s="3"/>
      <c r="K16" s="3"/>
      <c r="L16" s="3"/>
      <c r="M16" s="21"/>
      <c r="N16" s="21"/>
      <c r="O16" s="21"/>
      <c r="P16" s="21"/>
      <c r="Q16" s="3"/>
      <c r="R16" s="3"/>
    </row>
    <row r="17" spans="1:18">
      <c r="A17" s="3"/>
      <c r="B17" s="41"/>
      <c r="C17" s="3"/>
      <c r="D17" s="3"/>
      <c r="E17" s="3"/>
      <c r="F17" s="3"/>
      <c r="G17" s="3"/>
      <c r="H17" s="3"/>
      <c r="I17" s="3"/>
      <c r="J17" s="3"/>
      <c r="K17" s="3"/>
      <c r="L17" s="3"/>
      <c r="M17" s="21"/>
      <c r="N17" s="21"/>
      <c r="O17" s="21"/>
      <c r="P17" s="21"/>
      <c r="Q17" s="3"/>
      <c r="R17" s="3"/>
    </row>
    <row r="18" spans="1:18">
      <c r="A18" s="3"/>
      <c r="B18" s="41"/>
      <c r="C18" s="3"/>
      <c r="D18" s="3"/>
      <c r="E18" s="3"/>
      <c r="F18" s="3"/>
      <c r="G18" s="3"/>
      <c r="H18" s="3"/>
      <c r="I18" s="3"/>
      <c r="J18" s="3"/>
      <c r="K18" s="3"/>
      <c r="L18" s="3"/>
      <c r="M18" s="21"/>
      <c r="N18" s="21"/>
      <c r="O18" s="21"/>
      <c r="P18" s="21"/>
      <c r="Q18" s="3"/>
      <c r="R18" s="3"/>
    </row>
    <row r="19" spans="1:18">
      <c r="A19" s="3"/>
      <c r="B19" s="41"/>
      <c r="C19" s="3"/>
      <c r="D19" s="3"/>
      <c r="E19" s="3"/>
      <c r="F19" s="3"/>
      <c r="G19" s="3"/>
      <c r="H19" s="3"/>
      <c r="I19" s="3"/>
      <c r="J19" s="3"/>
      <c r="K19" s="3"/>
      <c r="L19" s="3"/>
      <c r="M19" s="21"/>
      <c r="N19" s="21"/>
      <c r="O19" s="21"/>
      <c r="P19" s="21"/>
      <c r="Q19" s="3"/>
      <c r="R19" s="3"/>
    </row>
    <row r="20" spans="1:18">
      <c r="A20" s="3"/>
      <c r="B20" s="41"/>
      <c r="C20" s="3"/>
      <c r="D20" s="3"/>
      <c r="E20" s="3"/>
      <c r="F20" s="3"/>
      <c r="G20" s="3"/>
      <c r="H20" s="3"/>
      <c r="I20" s="3"/>
      <c r="J20" s="3"/>
      <c r="K20" s="3"/>
      <c r="L20" s="3"/>
      <c r="M20" s="21"/>
      <c r="N20" s="21"/>
      <c r="O20" s="21"/>
      <c r="P20" s="21"/>
      <c r="Q20" s="3"/>
      <c r="R20" s="3"/>
    </row>
    <row r="21" spans="1:18">
      <c r="A21" s="3"/>
      <c r="B21" s="41"/>
      <c r="C21" s="3"/>
      <c r="D21" s="3"/>
      <c r="E21" s="3"/>
      <c r="F21" s="3"/>
      <c r="G21" s="3"/>
      <c r="H21" s="3"/>
      <c r="I21" s="3"/>
      <c r="J21" s="3"/>
      <c r="K21" s="3"/>
      <c r="L21" s="3"/>
      <c r="M21" s="21"/>
      <c r="N21" s="21"/>
      <c r="O21" s="21"/>
      <c r="P21" s="21"/>
      <c r="Q21" s="3"/>
      <c r="R21" s="3"/>
    </row>
    <row r="22" spans="1:18">
      <c r="A22" s="3"/>
      <c r="B22" s="41"/>
      <c r="C22" s="3"/>
      <c r="D22" s="3"/>
      <c r="E22" s="3"/>
      <c r="F22" s="3"/>
      <c r="G22" s="3"/>
      <c r="H22" s="3"/>
      <c r="I22" s="3"/>
      <c r="J22" s="3"/>
      <c r="K22" s="3"/>
      <c r="L22" s="3"/>
      <c r="M22" s="21"/>
      <c r="N22" s="21"/>
      <c r="O22" s="21"/>
      <c r="P22" s="21"/>
      <c r="Q22" s="3"/>
      <c r="R22" s="3"/>
    </row>
    <row r="23" spans="1:18">
      <c r="A23" s="3"/>
      <c r="B23" s="41"/>
      <c r="C23" s="3"/>
      <c r="D23" s="3"/>
      <c r="E23" s="3"/>
      <c r="F23" s="3"/>
      <c r="G23" s="3"/>
      <c r="H23" s="3"/>
      <c r="I23" s="3"/>
      <c r="J23" s="3"/>
      <c r="K23" s="3"/>
      <c r="L23" s="3"/>
      <c r="M23" s="21"/>
      <c r="N23" s="21"/>
      <c r="O23" s="21"/>
      <c r="P23" s="21"/>
      <c r="Q23" s="3"/>
      <c r="R23" s="3"/>
    </row>
    <row r="24" spans="1:18">
      <c r="A24" s="3"/>
      <c r="B24" s="41"/>
      <c r="C24" s="3"/>
      <c r="D24" s="3"/>
      <c r="E24" s="3"/>
      <c r="F24" s="3"/>
      <c r="G24" s="3"/>
      <c r="H24" s="3"/>
      <c r="I24" s="3"/>
      <c r="J24" s="3"/>
      <c r="K24" s="3"/>
      <c r="L24" s="3"/>
      <c r="M24" s="21"/>
      <c r="N24" s="21"/>
      <c r="O24" s="21"/>
      <c r="P24" s="21"/>
      <c r="Q24" s="3"/>
      <c r="R24" s="3"/>
    </row>
    <row r="25" spans="1:18">
      <c r="A25" s="3"/>
      <c r="B25" s="41"/>
      <c r="C25" s="3"/>
      <c r="D25" s="3"/>
      <c r="E25" s="3"/>
      <c r="F25" s="3"/>
      <c r="G25" s="3"/>
      <c r="H25" s="3"/>
      <c r="I25" s="3"/>
      <c r="J25" s="3"/>
      <c r="K25" s="3"/>
      <c r="L25" s="3"/>
      <c r="M25" s="21"/>
      <c r="N25" s="21"/>
      <c r="O25" s="21"/>
      <c r="P25" s="21"/>
      <c r="Q25" s="3"/>
      <c r="R25" s="3"/>
    </row>
    <row r="26" spans="1:18">
      <c r="A26" s="3"/>
      <c r="B26" s="41"/>
      <c r="C26" s="3"/>
      <c r="D26" s="3"/>
      <c r="E26" s="3"/>
      <c r="F26" s="3"/>
      <c r="G26" s="3"/>
      <c r="H26" s="3"/>
      <c r="I26" s="3"/>
      <c r="J26" s="3"/>
      <c r="K26" s="3"/>
      <c r="L26" s="3"/>
      <c r="M26" s="21"/>
      <c r="N26" s="21"/>
      <c r="O26" s="21"/>
      <c r="P26" s="21"/>
      <c r="Q26" s="3"/>
      <c r="R26" s="3"/>
    </row>
    <row r="27" spans="1:18">
      <c r="A27" s="3"/>
      <c r="B27" s="41"/>
      <c r="C27" s="3"/>
      <c r="D27" s="3"/>
      <c r="E27" s="3"/>
      <c r="F27" s="3"/>
      <c r="G27" s="3"/>
      <c r="H27" s="3"/>
      <c r="I27" s="3"/>
      <c r="J27" s="3"/>
      <c r="K27" s="3"/>
      <c r="L27" s="3"/>
      <c r="M27" s="21"/>
      <c r="N27" s="21"/>
      <c r="O27" s="21"/>
      <c r="P27" s="21"/>
      <c r="Q27" s="3"/>
      <c r="R27" s="3"/>
    </row>
    <row r="28" spans="1:18">
      <c r="A28" s="3"/>
      <c r="B28" s="41"/>
      <c r="C28" s="3"/>
      <c r="D28" s="3"/>
      <c r="E28" s="3"/>
      <c r="F28" s="3"/>
      <c r="G28" s="3"/>
      <c r="H28" s="3"/>
      <c r="I28" s="3"/>
      <c r="J28" s="3"/>
      <c r="K28" s="3"/>
      <c r="L28" s="3"/>
      <c r="M28" s="21"/>
      <c r="N28" s="21"/>
      <c r="O28" s="21"/>
      <c r="P28" s="21"/>
      <c r="Q28" s="3"/>
      <c r="R28" s="3"/>
    </row>
    <row r="29" spans="1:18">
      <c r="A29" s="3"/>
      <c r="B29" s="41"/>
      <c r="C29" s="3"/>
      <c r="D29" s="3"/>
      <c r="E29" s="3"/>
      <c r="F29" s="3"/>
      <c r="G29" s="3"/>
      <c r="H29" s="3"/>
      <c r="I29" s="3"/>
      <c r="J29" s="3"/>
      <c r="K29" s="3"/>
      <c r="L29" s="3"/>
      <c r="M29" s="21"/>
      <c r="N29" s="21"/>
      <c r="O29" s="21"/>
      <c r="P29" s="21"/>
      <c r="Q29" s="3"/>
      <c r="R29" s="3"/>
    </row>
    <row r="30" spans="1:18">
      <c r="A30" s="3"/>
      <c r="B30" s="41"/>
      <c r="C30" s="3"/>
      <c r="D30" s="3"/>
      <c r="E30" s="3"/>
      <c r="F30" s="3"/>
      <c r="G30" s="3"/>
      <c r="H30" s="3"/>
      <c r="I30" s="3"/>
      <c r="J30" s="3"/>
      <c r="K30" s="3"/>
      <c r="L30" s="3"/>
      <c r="M30" s="21"/>
      <c r="N30" s="21"/>
      <c r="O30" s="21"/>
      <c r="P30" s="21"/>
      <c r="Q30" s="3"/>
      <c r="R30" s="3"/>
    </row>
    <row r="31" spans="1:18">
      <c r="A31" s="3"/>
      <c r="B31" s="41"/>
      <c r="C31" s="3"/>
      <c r="D31" s="3"/>
      <c r="E31" s="3"/>
      <c r="F31" s="3"/>
      <c r="G31" s="3"/>
      <c r="H31" s="3"/>
      <c r="I31" s="3"/>
      <c r="J31" s="3"/>
      <c r="K31" s="3"/>
      <c r="L31" s="3"/>
      <c r="M31" s="21"/>
      <c r="N31" s="21"/>
      <c r="O31" s="21"/>
      <c r="P31" s="21"/>
      <c r="Q31" s="3"/>
      <c r="R31" s="3"/>
    </row>
    <row r="32" spans="1:18">
      <c r="A32" s="3"/>
      <c r="B32" s="41"/>
      <c r="C32" s="3"/>
      <c r="D32" s="3"/>
      <c r="E32" s="3"/>
      <c r="F32" s="3"/>
      <c r="G32" s="3"/>
      <c r="H32" s="3"/>
      <c r="I32" s="3"/>
      <c r="J32" s="3"/>
      <c r="K32" s="3"/>
      <c r="L32" s="3"/>
      <c r="M32" s="21"/>
      <c r="N32" s="21"/>
      <c r="O32" s="21"/>
      <c r="P32" s="21"/>
      <c r="Q32" s="3"/>
      <c r="R32" s="3"/>
    </row>
    <row r="33" spans="1:18">
      <c r="A33" s="3"/>
      <c r="B33" s="41"/>
      <c r="C33" s="3"/>
      <c r="D33" s="3"/>
      <c r="E33" s="3"/>
      <c r="F33" s="3"/>
      <c r="G33" s="3"/>
      <c r="H33" s="3"/>
      <c r="I33" s="3"/>
      <c r="J33" s="3"/>
      <c r="K33" s="3"/>
      <c r="L33" s="3"/>
      <c r="M33" s="21"/>
      <c r="N33" s="21"/>
      <c r="O33" s="21"/>
      <c r="P33" s="21"/>
      <c r="Q33" s="3"/>
      <c r="R33" s="3"/>
    </row>
    <row r="34" spans="1:18">
      <c r="A34" s="3"/>
      <c r="B34" s="41"/>
      <c r="C34" s="3"/>
      <c r="D34" s="3"/>
      <c r="E34" s="3"/>
      <c r="F34" s="3"/>
      <c r="G34" s="3"/>
      <c r="H34" s="3"/>
      <c r="I34" s="3"/>
      <c r="J34" s="3"/>
      <c r="K34" s="3"/>
      <c r="L34" s="3"/>
      <c r="M34" s="21"/>
      <c r="N34" s="21"/>
      <c r="O34" s="21"/>
      <c r="P34" s="21"/>
      <c r="Q34" s="3"/>
      <c r="R34" s="3"/>
    </row>
    <row r="35" spans="1:18">
      <c r="A35" s="3"/>
      <c r="B35" s="41"/>
      <c r="C35" s="3"/>
      <c r="D35" s="3"/>
      <c r="E35" s="3"/>
      <c r="F35" s="3"/>
      <c r="G35" s="3"/>
      <c r="H35" s="3"/>
      <c r="I35" s="3"/>
      <c r="J35" s="3"/>
      <c r="K35" s="3"/>
      <c r="L35" s="3"/>
      <c r="M35" s="21"/>
      <c r="N35" s="21"/>
      <c r="O35" s="21"/>
      <c r="P35" s="21"/>
      <c r="Q35" s="3"/>
      <c r="R35" s="3"/>
    </row>
    <row r="36" spans="1:18">
      <c r="A36" s="3"/>
      <c r="B36" s="41"/>
      <c r="C36" s="3"/>
      <c r="D36" s="3"/>
      <c r="E36" s="3"/>
      <c r="F36" s="3"/>
      <c r="G36" s="3"/>
      <c r="H36" s="3"/>
      <c r="I36" s="3"/>
      <c r="J36" s="3"/>
      <c r="K36" s="3"/>
      <c r="L36" s="3"/>
      <c r="M36" s="21"/>
      <c r="N36" s="21"/>
      <c r="O36" s="21"/>
      <c r="P36" s="21"/>
      <c r="Q36" s="3"/>
      <c r="R36" s="3"/>
    </row>
    <row r="37" spans="1:18">
      <c r="A37" s="3"/>
      <c r="B37" s="41"/>
      <c r="C37" s="3"/>
      <c r="D37" s="3"/>
      <c r="E37" s="3"/>
      <c r="F37" s="3"/>
      <c r="G37" s="3"/>
      <c r="H37" s="3"/>
      <c r="I37" s="3"/>
      <c r="J37" s="3"/>
      <c r="K37" s="3"/>
      <c r="L37" s="3"/>
      <c r="M37" s="21"/>
      <c r="N37" s="21"/>
      <c r="O37" s="21"/>
      <c r="P37" s="21"/>
      <c r="Q37" s="3"/>
      <c r="R37" s="3"/>
    </row>
    <row r="38" spans="1:18">
      <c r="A38" s="3"/>
      <c r="B38" s="41"/>
      <c r="C38" s="3"/>
      <c r="D38" s="3"/>
      <c r="E38" s="3"/>
      <c r="F38" s="3"/>
      <c r="G38" s="3"/>
      <c r="H38" s="3"/>
      <c r="I38" s="3"/>
      <c r="J38" s="3"/>
      <c r="K38" s="3"/>
      <c r="L38" s="3"/>
      <c r="M38" s="21"/>
      <c r="N38" s="21"/>
      <c r="O38" s="21"/>
      <c r="P38" s="21"/>
      <c r="Q38" s="3"/>
      <c r="R38" s="3"/>
    </row>
    <row r="39" spans="1:18">
      <c r="A39" s="3"/>
      <c r="B39" s="41"/>
      <c r="C39" s="3"/>
      <c r="D39" s="3"/>
      <c r="E39" s="3"/>
      <c r="F39" s="3"/>
      <c r="G39" s="3"/>
      <c r="H39" s="3"/>
      <c r="I39" s="3"/>
      <c r="J39" s="3"/>
      <c r="K39" s="3"/>
      <c r="L39" s="3"/>
      <c r="M39" s="21"/>
      <c r="N39" s="21"/>
      <c r="O39" s="21"/>
      <c r="P39" s="21"/>
      <c r="Q39" s="3"/>
      <c r="R39" s="3"/>
    </row>
    <row r="40" spans="1:18">
      <c r="A40" s="3"/>
      <c r="B40" s="41"/>
      <c r="C40" s="3"/>
      <c r="D40" s="3"/>
      <c r="E40" s="3"/>
      <c r="F40" s="3"/>
      <c r="G40" s="3"/>
      <c r="H40" s="3"/>
      <c r="I40" s="3"/>
      <c r="J40" s="3"/>
      <c r="K40" s="3"/>
      <c r="L40" s="3"/>
      <c r="M40" s="21"/>
      <c r="N40" s="21"/>
      <c r="O40" s="21"/>
      <c r="P40" s="21"/>
      <c r="Q40" s="3"/>
      <c r="R40" s="3"/>
    </row>
    <row r="41" spans="1:18">
      <c r="A41" s="3"/>
      <c r="B41" s="41"/>
      <c r="C41" s="3"/>
      <c r="D41" s="3"/>
      <c r="E41" s="3"/>
      <c r="F41" s="3"/>
      <c r="G41" s="3"/>
      <c r="H41" s="3"/>
      <c r="I41" s="3"/>
      <c r="J41" s="3"/>
      <c r="K41" s="3"/>
      <c r="L41" s="3"/>
      <c r="M41" s="21"/>
      <c r="N41" s="21"/>
      <c r="O41" s="21"/>
      <c r="P41" s="21"/>
      <c r="Q41" s="3"/>
      <c r="R41" s="3"/>
    </row>
    <row r="42" spans="1:18">
      <c r="A42" s="3"/>
      <c r="B42" s="41"/>
      <c r="C42" s="3"/>
      <c r="D42" s="3"/>
      <c r="E42" s="3"/>
      <c r="F42" s="3"/>
      <c r="G42" s="3"/>
      <c r="H42" s="3"/>
      <c r="I42" s="3"/>
      <c r="J42" s="3"/>
      <c r="K42" s="3"/>
      <c r="L42" s="3"/>
      <c r="M42" s="21"/>
      <c r="N42" s="21"/>
      <c r="O42" s="21"/>
      <c r="P42" s="21"/>
      <c r="Q42" s="3"/>
      <c r="R42" s="3"/>
    </row>
    <row r="43" spans="1:18">
      <c r="A43" s="3"/>
      <c r="B43" s="41"/>
      <c r="C43" s="3"/>
      <c r="D43" s="3"/>
      <c r="E43" s="3"/>
      <c r="F43" s="3"/>
      <c r="G43" s="3"/>
      <c r="H43" s="3"/>
      <c r="I43" s="3"/>
      <c r="J43" s="3"/>
      <c r="K43" s="3"/>
      <c r="L43" s="3"/>
      <c r="M43" s="21"/>
      <c r="N43" s="21"/>
      <c r="O43" s="21"/>
      <c r="P43" s="21"/>
      <c r="Q43" s="3"/>
      <c r="R43" s="3"/>
    </row>
    <row r="44" spans="1:18">
      <c r="A44" s="3"/>
      <c r="B44" s="41"/>
      <c r="C44" s="3"/>
      <c r="D44" s="3"/>
      <c r="E44" s="3"/>
      <c r="F44" s="3"/>
      <c r="G44" s="3"/>
      <c r="H44" s="3"/>
      <c r="I44" s="3"/>
      <c r="J44" s="3"/>
      <c r="K44" s="3"/>
      <c r="L44" s="3"/>
      <c r="M44" s="21"/>
      <c r="N44" s="21"/>
      <c r="O44" s="21"/>
      <c r="P44" s="21"/>
      <c r="Q44" s="3"/>
      <c r="R44" s="3"/>
    </row>
    <row r="45" spans="1:18">
      <c r="A45" s="3"/>
      <c r="B45" s="41"/>
      <c r="C45" s="3"/>
      <c r="D45" s="3"/>
      <c r="E45" s="3"/>
      <c r="F45" s="3"/>
      <c r="G45" s="3"/>
      <c r="H45" s="3"/>
      <c r="I45" s="3"/>
      <c r="J45" s="3"/>
      <c r="K45" s="3"/>
      <c r="L45" s="3"/>
      <c r="M45" s="21"/>
      <c r="N45" s="21"/>
      <c r="O45" s="21"/>
      <c r="P45" s="21"/>
      <c r="Q45" s="3"/>
      <c r="R45" s="3"/>
    </row>
    <row r="46" spans="1:18">
      <c r="A46" s="3"/>
      <c r="B46" s="41"/>
      <c r="C46" s="3"/>
      <c r="D46" s="3"/>
      <c r="E46" s="3"/>
      <c r="F46" s="3"/>
      <c r="G46" s="3"/>
      <c r="H46" s="3"/>
      <c r="I46" s="3"/>
      <c r="J46" s="3"/>
      <c r="K46" s="3"/>
      <c r="L46" s="3"/>
      <c r="M46" s="21"/>
      <c r="N46" s="21"/>
      <c r="O46" s="21"/>
      <c r="P46" s="21"/>
      <c r="Q46" s="3"/>
      <c r="R46" s="3"/>
    </row>
    <row r="47" spans="1:18">
      <c r="A47" s="3"/>
      <c r="B47" s="41"/>
      <c r="C47" s="3"/>
      <c r="D47" s="3"/>
      <c r="E47" s="3"/>
      <c r="F47" s="3"/>
      <c r="G47" s="3"/>
      <c r="H47" s="3"/>
      <c r="I47" s="3"/>
      <c r="J47" s="3"/>
      <c r="K47" s="3"/>
      <c r="L47" s="3"/>
      <c r="M47" s="21"/>
      <c r="N47" s="21"/>
      <c r="O47" s="21"/>
      <c r="P47" s="21"/>
      <c r="Q47" s="3"/>
      <c r="R47" s="3"/>
    </row>
    <row r="48" spans="1:18">
      <c r="A48" s="3"/>
      <c r="B48" s="41"/>
      <c r="C48" s="3"/>
      <c r="D48" s="3"/>
      <c r="E48" s="3"/>
      <c r="F48" s="3"/>
      <c r="G48" s="3"/>
      <c r="H48" s="3"/>
      <c r="I48" s="3"/>
      <c r="J48" s="3"/>
      <c r="K48" s="3"/>
      <c r="L48" s="3"/>
      <c r="M48" s="21"/>
      <c r="N48" s="21"/>
      <c r="O48" s="21"/>
      <c r="P48" s="21"/>
      <c r="Q48" s="3"/>
      <c r="R48" s="3"/>
    </row>
    <row r="49" spans="1:18">
      <c r="A49" s="3"/>
      <c r="B49" s="41"/>
      <c r="C49" s="3"/>
      <c r="D49" s="3"/>
      <c r="E49" s="3"/>
      <c r="F49" s="3"/>
      <c r="G49" s="3"/>
      <c r="H49" s="3"/>
      <c r="I49" s="3"/>
      <c r="J49" s="3"/>
      <c r="K49" s="3"/>
      <c r="L49" s="3"/>
      <c r="M49" s="21"/>
      <c r="N49" s="21"/>
      <c r="O49" s="21"/>
      <c r="P49" s="21"/>
      <c r="Q49" s="3"/>
      <c r="R49" s="3"/>
    </row>
    <row r="50" spans="1:18">
      <c r="A50" s="3"/>
      <c r="B50" s="41"/>
      <c r="C50" s="3"/>
      <c r="D50" s="3"/>
      <c r="E50" s="3"/>
      <c r="F50" s="3"/>
      <c r="G50" s="3"/>
      <c r="H50" s="3"/>
      <c r="I50" s="3"/>
      <c r="J50" s="3"/>
      <c r="K50" s="3"/>
      <c r="L50" s="3"/>
      <c r="M50" s="21"/>
      <c r="N50" s="21"/>
      <c r="O50" s="21"/>
      <c r="P50" s="21"/>
      <c r="Q50" s="3"/>
      <c r="R50" s="3"/>
    </row>
    <row r="51" spans="1:18">
      <c r="A51" s="3"/>
      <c r="B51" s="41"/>
      <c r="C51" s="3"/>
      <c r="D51" s="3"/>
      <c r="E51" s="3"/>
      <c r="F51" s="3"/>
      <c r="G51" s="3"/>
      <c r="H51" s="3"/>
      <c r="I51" s="3"/>
      <c r="J51" s="3"/>
      <c r="K51" s="3"/>
      <c r="L51" s="3"/>
      <c r="M51" s="21"/>
      <c r="N51" s="21"/>
      <c r="O51" s="21"/>
      <c r="P51" s="21"/>
      <c r="Q51" s="3"/>
      <c r="R51" s="3"/>
    </row>
    <row r="52" spans="1:18">
      <c r="A52" s="3"/>
      <c r="B52" s="41"/>
      <c r="C52" s="3"/>
      <c r="D52" s="3"/>
      <c r="E52" s="3"/>
      <c r="F52" s="3"/>
      <c r="G52" s="3"/>
      <c r="H52" s="3"/>
      <c r="I52" s="3"/>
      <c r="J52" s="3"/>
      <c r="K52" s="3"/>
      <c r="L52" s="3"/>
      <c r="M52" s="21"/>
      <c r="N52" s="21"/>
      <c r="O52" s="21"/>
      <c r="P52" s="21"/>
      <c r="Q52" s="3"/>
      <c r="R52" s="3"/>
    </row>
    <row r="53" spans="1:18">
      <c r="A53" s="3"/>
      <c r="B53" s="41"/>
      <c r="C53" s="3"/>
      <c r="D53" s="3"/>
      <c r="E53" s="3"/>
      <c r="F53" s="3"/>
      <c r="G53" s="3"/>
      <c r="H53" s="3"/>
      <c r="I53" s="3"/>
      <c r="J53" s="3"/>
      <c r="K53" s="3"/>
      <c r="L53" s="3"/>
      <c r="M53" s="21"/>
      <c r="N53" s="21"/>
      <c r="O53" s="21"/>
      <c r="P53" s="21"/>
      <c r="Q53" s="3"/>
      <c r="R53" s="3"/>
    </row>
    <row r="54" spans="1:18">
      <c r="A54" s="3"/>
      <c r="B54" s="41"/>
      <c r="C54" s="3"/>
      <c r="D54" s="3"/>
      <c r="E54" s="3"/>
      <c r="F54" s="3"/>
      <c r="G54" s="3"/>
      <c r="H54" s="3"/>
      <c r="I54" s="3"/>
      <c r="J54" s="3"/>
      <c r="K54" s="3"/>
      <c r="L54" s="3"/>
      <c r="M54" s="21"/>
      <c r="N54" s="21"/>
      <c r="O54" s="21"/>
      <c r="P54" s="21"/>
      <c r="Q54" s="3"/>
      <c r="R54" s="3"/>
    </row>
    <row r="55" spans="1:18">
      <c r="A55" s="3"/>
      <c r="B55" s="41"/>
      <c r="C55" s="3"/>
      <c r="D55" s="3"/>
      <c r="E55" s="3"/>
      <c r="F55" s="3"/>
      <c r="G55" s="3"/>
      <c r="H55" s="3"/>
      <c r="I55" s="3"/>
      <c r="J55" s="3"/>
      <c r="K55" s="3"/>
      <c r="L55" s="3"/>
      <c r="M55" s="21"/>
      <c r="N55" s="21"/>
      <c r="O55" s="21"/>
      <c r="P55" s="21"/>
      <c r="Q55" s="3"/>
      <c r="R55" s="3"/>
    </row>
    <row r="56" spans="1:18">
      <c r="A56" s="3"/>
      <c r="B56" s="41"/>
      <c r="C56" s="3"/>
      <c r="D56" s="3"/>
      <c r="E56" s="3"/>
      <c r="F56" s="3"/>
      <c r="G56" s="3"/>
      <c r="H56" s="3"/>
      <c r="I56" s="3"/>
      <c r="J56" s="3"/>
      <c r="K56" s="3"/>
      <c r="L56" s="3"/>
      <c r="M56" s="21"/>
      <c r="N56" s="21"/>
      <c r="O56" s="21"/>
      <c r="P56" s="21"/>
      <c r="Q56" s="3"/>
      <c r="R56" s="3"/>
    </row>
    <row r="57" spans="1:18">
      <c r="A57" s="3"/>
      <c r="B57" s="41"/>
      <c r="C57" s="3"/>
      <c r="D57" s="3"/>
      <c r="E57" s="3"/>
      <c r="F57" s="3"/>
      <c r="G57" s="3"/>
      <c r="H57" s="3"/>
      <c r="I57" s="3"/>
      <c r="J57" s="3"/>
      <c r="K57" s="3"/>
      <c r="L57" s="3"/>
      <c r="M57" s="21"/>
      <c r="N57" s="21"/>
      <c r="O57" s="21"/>
      <c r="P57" s="21"/>
      <c r="Q57" s="3"/>
      <c r="R57" s="3"/>
    </row>
    <row r="58" spans="1:18">
      <c r="A58" s="3"/>
      <c r="B58" s="41"/>
      <c r="C58" s="3"/>
      <c r="D58" s="3"/>
      <c r="E58" s="3"/>
      <c r="F58" s="3"/>
      <c r="G58" s="3"/>
      <c r="H58" s="3"/>
      <c r="I58" s="3"/>
      <c r="J58" s="3"/>
      <c r="K58" s="3"/>
      <c r="L58" s="3"/>
      <c r="M58" s="21"/>
      <c r="N58" s="21"/>
      <c r="O58" s="21"/>
      <c r="P58" s="21"/>
      <c r="Q58" s="3"/>
      <c r="R58" s="3"/>
    </row>
    <row r="59" spans="1:18">
      <c r="A59" s="3"/>
      <c r="B59" s="41"/>
      <c r="C59" s="3"/>
      <c r="D59" s="3"/>
      <c r="E59" s="3"/>
      <c r="F59" s="3"/>
      <c r="G59" s="3"/>
      <c r="H59" s="3"/>
      <c r="I59" s="3"/>
      <c r="J59" s="3"/>
      <c r="K59" s="3"/>
      <c r="L59" s="3"/>
      <c r="M59" s="21"/>
      <c r="N59" s="21"/>
      <c r="O59" s="21"/>
      <c r="P59" s="21"/>
      <c r="Q59" s="3"/>
      <c r="R59" s="3"/>
    </row>
    <row r="60" spans="1:18">
      <c r="A60" s="3"/>
      <c r="B60" s="41"/>
      <c r="C60" s="3"/>
      <c r="D60" s="3"/>
      <c r="E60" s="3"/>
      <c r="F60" s="3"/>
      <c r="G60" s="3"/>
      <c r="H60" s="3"/>
      <c r="I60" s="3"/>
      <c r="J60" s="3"/>
      <c r="K60" s="3"/>
      <c r="L60" s="3"/>
      <c r="M60" s="21"/>
      <c r="N60" s="21"/>
      <c r="O60" s="21"/>
      <c r="P60" s="21"/>
      <c r="Q60" s="3"/>
      <c r="R60" s="3"/>
    </row>
    <row r="61" spans="1:18">
      <c r="A61" s="3"/>
      <c r="B61" s="41"/>
      <c r="C61" s="3"/>
      <c r="D61" s="3"/>
      <c r="E61" s="3"/>
      <c r="F61" s="3"/>
      <c r="G61" s="3"/>
      <c r="H61" s="3"/>
      <c r="I61" s="3"/>
      <c r="J61" s="3"/>
      <c r="K61" s="3"/>
      <c r="L61" s="3"/>
      <c r="M61" s="21"/>
      <c r="N61" s="21"/>
      <c r="O61" s="21"/>
      <c r="P61" s="21"/>
      <c r="Q61" s="3"/>
      <c r="R61" s="3"/>
    </row>
    <row r="62" spans="1:18">
      <c r="A62" s="3"/>
      <c r="B62" s="41"/>
      <c r="C62" s="3"/>
      <c r="D62" s="3"/>
      <c r="E62" s="3"/>
      <c r="F62" s="3"/>
      <c r="G62" s="3"/>
      <c r="H62" s="3"/>
      <c r="I62" s="3"/>
      <c r="J62" s="3"/>
      <c r="K62" s="3"/>
      <c r="L62" s="3"/>
      <c r="M62" s="21"/>
      <c r="N62" s="21"/>
      <c r="O62" s="21"/>
      <c r="P62" s="21"/>
      <c r="Q62" s="3"/>
      <c r="R62" s="3"/>
    </row>
    <row r="63" spans="1:18">
      <c r="A63" s="3"/>
      <c r="B63" s="41"/>
      <c r="C63" s="3"/>
      <c r="D63" s="3"/>
      <c r="E63" s="3"/>
      <c r="F63" s="3"/>
      <c r="G63" s="3"/>
      <c r="H63" s="3"/>
      <c r="I63" s="3"/>
      <c r="J63" s="3"/>
      <c r="K63" s="3"/>
      <c r="L63" s="3"/>
      <c r="M63" s="21"/>
      <c r="N63" s="21"/>
      <c r="O63" s="21"/>
      <c r="P63" s="21"/>
      <c r="Q63" s="3"/>
      <c r="R63" s="3"/>
    </row>
    <row r="64" spans="1:18">
      <c r="A64" s="3"/>
      <c r="B64" s="41"/>
      <c r="C64" s="3"/>
      <c r="D64" s="3"/>
      <c r="E64" s="3"/>
      <c r="F64" s="3"/>
      <c r="G64" s="3"/>
      <c r="H64" s="3"/>
      <c r="I64" s="3"/>
      <c r="J64" s="3"/>
      <c r="K64" s="3"/>
      <c r="L64" s="3"/>
      <c r="M64" s="21"/>
      <c r="N64" s="21"/>
      <c r="O64" s="21"/>
      <c r="P64" s="21"/>
      <c r="Q64" s="3"/>
      <c r="R64" s="3"/>
    </row>
    <row r="65" spans="1:18">
      <c r="A65" s="3"/>
      <c r="B65" s="41"/>
      <c r="C65" s="3"/>
      <c r="D65" s="3"/>
      <c r="E65" s="3"/>
      <c r="F65" s="3"/>
      <c r="G65" s="3"/>
      <c r="H65" s="3"/>
      <c r="I65" s="3"/>
      <c r="J65" s="3"/>
      <c r="K65" s="3"/>
      <c r="L65" s="3"/>
      <c r="M65" s="21"/>
      <c r="N65" s="21"/>
      <c r="O65" s="21"/>
      <c r="P65" s="21"/>
      <c r="Q65" s="3"/>
      <c r="R65" s="3"/>
    </row>
    <row r="66" spans="1:18">
      <c r="A66" s="3"/>
      <c r="B66" s="41"/>
      <c r="C66" s="3"/>
      <c r="D66" s="3"/>
      <c r="E66" s="3"/>
      <c r="F66" s="3"/>
      <c r="G66" s="3"/>
      <c r="H66" s="3"/>
      <c r="I66" s="3"/>
      <c r="J66" s="3"/>
      <c r="K66" s="3"/>
      <c r="L66" s="3"/>
      <c r="M66" s="21"/>
      <c r="N66" s="21"/>
      <c r="O66" s="21"/>
      <c r="P66" s="21"/>
      <c r="Q66" s="3"/>
      <c r="R66" s="3"/>
    </row>
    <row r="67" spans="1:18">
      <c r="A67" s="3"/>
      <c r="B67" s="41"/>
      <c r="C67" s="3"/>
      <c r="D67" s="3"/>
      <c r="E67" s="3"/>
      <c r="F67" s="3"/>
      <c r="G67" s="3"/>
      <c r="H67" s="3"/>
      <c r="I67" s="3"/>
      <c r="J67" s="3"/>
      <c r="K67" s="3"/>
      <c r="L67" s="3"/>
      <c r="M67" s="21"/>
      <c r="N67" s="21"/>
      <c r="O67" s="21"/>
      <c r="P67" s="21"/>
      <c r="Q67" s="3"/>
      <c r="R67" s="3"/>
    </row>
    <row r="68" spans="1:18">
      <c r="A68" s="3"/>
      <c r="B68" s="41"/>
      <c r="C68" s="3"/>
      <c r="D68" s="3"/>
      <c r="E68" s="3"/>
      <c r="F68" s="3"/>
      <c r="G68" s="3"/>
      <c r="H68" s="3"/>
      <c r="I68" s="3"/>
      <c r="J68" s="3"/>
      <c r="K68" s="3"/>
      <c r="L68" s="3"/>
      <c r="M68" s="21"/>
      <c r="N68" s="21"/>
      <c r="O68" s="21"/>
      <c r="P68" s="21"/>
      <c r="Q68" s="3"/>
      <c r="R68" s="3"/>
    </row>
    <row r="69" spans="1:18">
      <c r="A69" s="3"/>
      <c r="B69" s="41"/>
      <c r="C69" s="3"/>
      <c r="D69" s="3"/>
      <c r="E69" s="3"/>
      <c r="F69" s="3"/>
      <c r="G69" s="3"/>
      <c r="H69" s="3"/>
      <c r="I69" s="3"/>
      <c r="J69" s="3"/>
      <c r="K69" s="3"/>
      <c r="L69" s="3"/>
      <c r="M69" s="21"/>
      <c r="N69" s="21"/>
      <c r="O69" s="21"/>
      <c r="P69" s="21"/>
      <c r="Q69" s="3"/>
      <c r="R69" s="3"/>
    </row>
    <row r="70" spans="1:18">
      <c r="A70" s="3"/>
      <c r="B70" s="41"/>
      <c r="C70" s="3"/>
      <c r="D70" s="3"/>
      <c r="E70" s="3"/>
      <c r="F70" s="3"/>
      <c r="G70" s="3"/>
      <c r="H70" s="3"/>
      <c r="I70" s="3"/>
      <c r="J70" s="3"/>
      <c r="K70" s="3"/>
      <c r="L70" s="3"/>
      <c r="M70" s="21"/>
      <c r="N70" s="21"/>
      <c r="O70" s="21"/>
      <c r="P70" s="21"/>
      <c r="Q70" s="3"/>
      <c r="R70" s="3"/>
    </row>
    <row r="71" spans="1:18">
      <c r="A71" s="3"/>
      <c r="B71" s="41"/>
      <c r="C71" s="3"/>
      <c r="D71" s="3"/>
      <c r="E71" s="3"/>
      <c r="F71" s="3"/>
      <c r="G71" s="3"/>
      <c r="H71" s="3"/>
      <c r="I71" s="3"/>
      <c r="J71" s="3"/>
      <c r="K71" s="3"/>
      <c r="L71" s="3"/>
      <c r="M71" s="21"/>
      <c r="N71" s="21"/>
      <c r="O71" s="21"/>
      <c r="P71" s="21"/>
      <c r="Q71" s="3"/>
      <c r="R71" s="3"/>
    </row>
    <row r="72" spans="1:18">
      <c r="A72" s="3"/>
      <c r="B72" s="41"/>
      <c r="C72" s="3"/>
      <c r="D72" s="3"/>
      <c r="E72" s="3"/>
      <c r="F72" s="3"/>
      <c r="G72" s="3"/>
      <c r="H72" s="3"/>
      <c r="I72" s="3"/>
      <c r="J72" s="3"/>
      <c r="K72" s="3"/>
      <c r="L72" s="3"/>
      <c r="M72" s="21"/>
      <c r="N72" s="21"/>
      <c r="O72" s="21"/>
      <c r="P72" s="21"/>
      <c r="Q72" s="3"/>
      <c r="R72" s="3"/>
    </row>
    <row r="73" spans="1:18">
      <c r="A73" s="3"/>
      <c r="B73" s="41"/>
      <c r="C73" s="3"/>
      <c r="D73" s="3"/>
      <c r="E73" s="3"/>
      <c r="F73" s="3"/>
      <c r="G73" s="3"/>
      <c r="H73" s="3"/>
      <c r="I73" s="3"/>
      <c r="J73" s="3"/>
      <c r="K73" s="3"/>
      <c r="L73" s="3"/>
      <c r="M73" s="21"/>
      <c r="N73" s="21"/>
      <c r="O73" s="21"/>
      <c r="P73" s="21"/>
      <c r="Q73" s="3"/>
      <c r="R73" s="3"/>
    </row>
    <row r="74" spans="1:18">
      <c r="A74" s="3"/>
      <c r="B74" s="41"/>
      <c r="C74" s="3"/>
      <c r="D74" s="3"/>
      <c r="E74" s="3"/>
      <c r="F74" s="3"/>
      <c r="G74" s="3"/>
      <c r="H74" s="3"/>
      <c r="I74" s="3"/>
      <c r="J74" s="3"/>
      <c r="K74" s="3"/>
      <c r="L74" s="3"/>
      <c r="M74" s="21"/>
      <c r="N74" s="21"/>
      <c r="O74" s="21"/>
      <c r="P74" s="21"/>
      <c r="Q74" s="3"/>
      <c r="R74" s="3"/>
    </row>
    <row r="75" spans="1:18">
      <c r="A75" s="3"/>
      <c r="B75" s="41"/>
      <c r="C75" s="3"/>
      <c r="D75" s="3"/>
      <c r="E75" s="3"/>
      <c r="F75" s="3"/>
      <c r="G75" s="3"/>
      <c r="H75" s="3"/>
      <c r="I75" s="3"/>
      <c r="J75" s="3"/>
      <c r="K75" s="3"/>
      <c r="L75" s="3"/>
      <c r="M75" s="21"/>
      <c r="N75" s="21"/>
      <c r="O75" s="21"/>
      <c r="P75" s="21"/>
      <c r="Q75" s="3"/>
      <c r="R75" s="3"/>
    </row>
    <row r="76" spans="1:18">
      <c r="A76" s="3"/>
      <c r="B76" s="41"/>
      <c r="C76" s="3"/>
      <c r="D76" s="3"/>
      <c r="E76" s="3"/>
      <c r="F76" s="3"/>
      <c r="G76" s="3"/>
      <c r="H76" s="3"/>
      <c r="I76" s="3"/>
      <c r="J76" s="3"/>
      <c r="K76" s="3"/>
      <c r="L76" s="3"/>
      <c r="M76" s="21"/>
      <c r="N76" s="21"/>
      <c r="O76" s="21"/>
      <c r="P76" s="21"/>
      <c r="Q76" s="3"/>
      <c r="R76" s="3"/>
    </row>
    <row r="77" spans="1:18">
      <c r="A77" s="3"/>
      <c r="B77" s="41"/>
      <c r="C77" s="3"/>
      <c r="D77" s="3"/>
      <c r="E77" s="3"/>
      <c r="F77" s="3"/>
      <c r="G77" s="3"/>
      <c r="H77" s="3"/>
      <c r="I77" s="3"/>
      <c r="J77" s="3"/>
      <c r="K77" s="3"/>
      <c r="L77" s="3"/>
      <c r="M77" s="21"/>
      <c r="N77" s="21"/>
      <c r="O77" s="21"/>
      <c r="P77" s="21"/>
      <c r="Q77" s="3"/>
      <c r="R77" s="3"/>
    </row>
    <row r="78" spans="1:18">
      <c r="A78" s="3"/>
      <c r="B78" s="41"/>
      <c r="C78" s="3"/>
      <c r="D78" s="3"/>
      <c r="E78" s="3"/>
      <c r="F78" s="3"/>
      <c r="G78" s="3"/>
      <c r="H78" s="3"/>
      <c r="I78" s="3"/>
      <c r="J78" s="3"/>
      <c r="K78" s="3"/>
      <c r="L78" s="3"/>
      <c r="M78" s="21"/>
      <c r="N78" s="21"/>
      <c r="O78" s="21"/>
      <c r="P78" s="21"/>
      <c r="Q78" s="3"/>
      <c r="R78" s="3"/>
    </row>
    <row r="79" spans="1:18">
      <c r="A79" s="3"/>
      <c r="B79" s="41"/>
      <c r="C79" s="3"/>
      <c r="D79" s="3"/>
      <c r="E79" s="3"/>
      <c r="F79" s="3"/>
      <c r="G79" s="3"/>
      <c r="H79" s="3"/>
      <c r="I79" s="3"/>
      <c r="J79" s="3"/>
      <c r="K79" s="3"/>
      <c r="L79" s="3"/>
      <c r="M79" s="21"/>
      <c r="N79" s="21"/>
      <c r="O79" s="21"/>
      <c r="P79" s="21"/>
      <c r="Q79" s="3"/>
      <c r="R79" s="3"/>
    </row>
    <row r="80" spans="1:18">
      <c r="A80" s="3"/>
      <c r="B80" s="41"/>
      <c r="C80" s="3"/>
      <c r="D80" s="3"/>
      <c r="E80" s="3"/>
      <c r="F80" s="3"/>
      <c r="G80" s="3"/>
      <c r="H80" s="3"/>
      <c r="I80" s="3"/>
      <c r="J80" s="3"/>
      <c r="K80" s="3"/>
      <c r="L80" s="3"/>
      <c r="M80" s="21"/>
      <c r="N80" s="21"/>
      <c r="O80" s="21"/>
      <c r="P80" s="21"/>
      <c r="Q80" s="3"/>
      <c r="R80" s="3"/>
    </row>
    <row r="81" spans="1:18">
      <c r="A81" s="3"/>
      <c r="B81" s="41"/>
      <c r="C81" s="3"/>
      <c r="D81" s="3"/>
      <c r="E81" s="3"/>
      <c r="F81" s="3"/>
      <c r="G81" s="3"/>
      <c r="H81" s="3"/>
      <c r="I81" s="3"/>
      <c r="J81" s="3"/>
      <c r="K81" s="3"/>
      <c r="L81" s="3"/>
      <c r="M81" s="21"/>
      <c r="N81" s="21"/>
      <c r="O81" s="21"/>
      <c r="P81" s="21"/>
      <c r="Q81" s="3"/>
      <c r="R81" s="3"/>
    </row>
    <row r="82" spans="1:18">
      <c r="A82" s="3"/>
      <c r="B82" s="41"/>
      <c r="C82" s="3"/>
      <c r="D82" s="3"/>
      <c r="E82" s="3"/>
      <c r="F82" s="3"/>
      <c r="G82" s="3"/>
      <c r="H82" s="3"/>
      <c r="I82" s="3"/>
      <c r="J82" s="3"/>
      <c r="K82" s="3"/>
      <c r="L82" s="3"/>
      <c r="M82" s="21"/>
      <c r="N82" s="21"/>
      <c r="O82" s="21"/>
      <c r="P82" s="21"/>
      <c r="Q82" s="3"/>
      <c r="R82" s="3"/>
    </row>
    <row r="83" spans="1:18">
      <c r="A83" s="3"/>
      <c r="B83" s="41"/>
      <c r="C83" s="3"/>
      <c r="D83" s="3"/>
      <c r="E83" s="3"/>
      <c r="F83" s="3"/>
      <c r="G83" s="3"/>
      <c r="H83" s="3"/>
      <c r="I83" s="3"/>
      <c r="J83" s="3"/>
      <c r="K83" s="3"/>
      <c r="L83" s="3"/>
      <c r="M83" s="21"/>
      <c r="N83" s="21"/>
      <c r="O83" s="21"/>
      <c r="P83" s="21"/>
      <c r="Q83" s="3"/>
      <c r="R83" s="3"/>
    </row>
    <row r="84" spans="1:18">
      <c r="A84" s="3"/>
      <c r="B84" s="41"/>
      <c r="C84" s="3"/>
      <c r="D84" s="3"/>
      <c r="E84" s="3"/>
      <c r="F84" s="3"/>
      <c r="G84" s="3"/>
      <c r="H84" s="3"/>
      <c r="I84" s="3"/>
      <c r="J84" s="3"/>
      <c r="K84" s="3"/>
      <c r="L84" s="3"/>
      <c r="M84" s="21"/>
      <c r="N84" s="21"/>
      <c r="O84" s="21"/>
      <c r="P84" s="21"/>
      <c r="Q84" s="3"/>
      <c r="R84" s="3"/>
    </row>
    <row r="85" spans="1:18">
      <c r="A85" s="3"/>
      <c r="B85" s="41"/>
      <c r="C85" s="3"/>
      <c r="D85" s="3"/>
      <c r="E85" s="3"/>
      <c r="F85" s="3"/>
      <c r="G85" s="3"/>
      <c r="H85" s="3"/>
      <c r="I85" s="3"/>
      <c r="J85" s="3"/>
      <c r="K85" s="3"/>
      <c r="L85" s="3"/>
      <c r="M85" s="21"/>
      <c r="N85" s="21"/>
      <c r="O85" s="21"/>
      <c r="P85" s="21"/>
      <c r="Q85" s="3"/>
      <c r="R85" s="3"/>
    </row>
    <row r="86" spans="1:18">
      <c r="A86" s="3"/>
      <c r="B86" s="41"/>
      <c r="C86" s="3"/>
      <c r="D86" s="3"/>
      <c r="E86" s="3"/>
      <c r="F86" s="3"/>
      <c r="G86" s="3"/>
      <c r="H86" s="3"/>
      <c r="I86" s="3"/>
      <c r="J86" s="3"/>
      <c r="K86" s="3"/>
      <c r="L86" s="3"/>
      <c r="M86" s="21"/>
      <c r="N86" s="21"/>
      <c r="O86" s="21"/>
      <c r="P86" s="21"/>
      <c r="Q86" s="3"/>
      <c r="R86" s="3"/>
    </row>
    <row r="87" spans="1:18">
      <c r="A87" s="3"/>
      <c r="B87" s="41"/>
      <c r="C87" s="3"/>
      <c r="D87" s="3"/>
      <c r="E87" s="3"/>
      <c r="F87" s="3"/>
      <c r="G87" s="3"/>
      <c r="H87" s="3"/>
      <c r="I87" s="3"/>
      <c r="J87" s="3"/>
      <c r="K87" s="3"/>
      <c r="L87" s="3"/>
      <c r="M87" s="21"/>
      <c r="N87" s="21"/>
      <c r="O87" s="21"/>
      <c r="P87" s="21"/>
      <c r="Q87" s="3"/>
      <c r="R87" s="3"/>
    </row>
    <row r="88" spans="1:18">
      <c r="A88" s="3"/>
      <c r="B88" s="41"/>
      <c r="C88" s="3"/>
      <c r="D88" s="3"/>
      <c r="E88" s="3"/>
      <c r="F88" s="3"/>
      <c r="G88" s="3"/>
      <c r="H88" s="3"/>
      <c r="I88" s="3"/>
      <c r="J88" s="3"/>
      <c r="K88" s="3"/>
      <c r="L88" s="3"/>
      <c r="M88" s="21"/>
      <c r="N88" s="21"/>
      <c r="O88" s="21"/>
      <c r="P88" s="21"/>
      <c r="Q88" s="3"/>
      <c r="R88" s="3"/>
    </row>
    <row r="89" spans="1:18">
      <c r="A89" s="3"/>
      <c r="B89" s="41"/>
      <c r="C89" s="3"/>
      <c r="D89" s="3"/>
      <c r="E89" s="3"/>
      <c r="F89" s="3"/>
      <c r="G89" s="3"/>
      <c r="H89" s="3"/>
      <c r="I89" s="3"/>
      <c r="J89" s="3"/>
      <c r="K89" s="3"/>
      <c r="L89" s="3"/>
      <c r="M89" s="21"/>
      <c r="N89" s="21"/>
      <c r="O89" s="21"/>
      <c r="P89" s="21"/>
      <c r="Q89" s="3"/>
      <c r="R89" s="3"/>
    </row>
    <row r="90" spans="1:18">
      <c r="A90" s="3"/>
      <c r="B90" s="41"/>
      <c r="C90" s="3"/>
      <c r="D90" s="3"/>
      <c r="E90" s="3"/>
      <c r="F90" s="3"/>
      <c r="G90" s="3"/>
      <c r="H90" s="3"/>
      <c r="I90" s="3"/>
      <c r="J90" s="3"/>
      <c r="K90" s="3"/>
      <c r="L90" s="3"/>
      <c r="M90" s="21"/>
      <c r="N90" s="21"/>
      <c r="O90" s="21"/>
      <c r="P90" s="21"/>
      <c r="Q90" s="3"/>
      <c r="R90" s="3"/>
    </row>
    <row r="91" spans="1:18">
      <c r="A91" s="3"/>
      <c r="B91" s="41"/>
      <c r="C91" s="3"/>
      <c r="D91" s="3"/>
      <c r="E91" s="3"/>
      <c r="F91" s="3"/>
      <c r="G91" s="3"/>
      <c r="H91" s="3"/>
      <c r="I91" s="3"/>
      <c r="J91" s="3"/>
      <c r="K91" s="3"/>
      <c r="L91" s="3"/>
      <c r="M91" s="21"/>
      <c r="N91" s="21"/>
      <c r="O91" s="21"/>
      <c r="P91" s="21"/>
      <c r="Q91" s="3"/>
      <c r="R91" s="3"/>
    </row>
    <row r="92" spans="1:18">
      <c r="A92" s="3"/>
      <c r="B92" s="41"/>
      <c r="C92" s="3"/>
      <c r="D92" s="3"/>
      <c r="E92" s="3"/>
      <c r="F92" s="3"/>
      <c r="G92" s="3"/>
      <c r="H92" s="3"/>
      <c r="I92" s="3"/>
      <c r="J92" s="3"/>
      <c r="K92" s="3"/>
      <c r="L92" s="3"/>
      <c r="M92" s="21"/>
      <c r="N92" s="21"/>
      <c r="O92" s="21"/>
      <c r="P92" s="21"/>
      <c r="Q92" s="3"/>
      <c r="R92" s="3"/>
    </row>
    <row r="93" spans="1:18">
      <c r="A93" s="3"/>
      <c r="B93" s="41"/>
      <c r="C93" s="3"/>
      <c r="D93" s="3"/>
      <c r="E93" s="3"/>
      <c r="F93" s="3"/>
      <c r="G93" s="3"/>
      <c r="H93" s="3"/>
      <c r="I93" s="3"/>
      <c r="J93" s="3"/>
      <c r="K93" s="3"/>
      <c r="L93" s="3"/>
      <c r="M93" s="21"/>
      <c r="N93" s="21"/>
      <c r="O93" s="21"/>
      <c r="P93" s="21"/>
      <c r="Q93" s="3"/>
      <c r="R93" s="3"/>
    </row>
    <row r="94" spans="1:18">
      <c r="A94" s="3"/>
      <c r="B94" s="41"/>
      <c r="C94" s="3"/>
      <c r="D94" s="3"/>
      <c r="E94" s="3"/>
      <c r="F94" s="3"/>
      <c r="G94" s="3"/>
      <c r="H94" s="3"/>
      <c r="I94" s="3"/>
      <c r="J94" s="3"/>
      <c r="K94" s="3"/>
      <c r="L94" s="3"/>
      <c r="M94" s="21"/>
      <c r="N94" s="21"/>
      <c r="O94" s="21"/>
      <c r="P94" s="21"/>
      <c r="Q94" s="3"/>
      <c r="R94" s="3"/>
    </row>
    <row r="95" spans="1:18">
      <c r="A95" s="3"/>
      <c r="B95" s="41"/>
      <c r="C95" s="3"/>
      <c r="D95" s="3"/>
      <c r="E95" s="3"/>
      <c r="F95" s="3"/>
      <c r="G95" s="3"/>
      <c r="H95" s="3"/>
      <c r="I95" s="3"/>
      <c r="J95" s="3"/>
      <c r="K95" s="3"/>
      <c r="L95" s="3"/>
      <c r="M95" s="21"/>
      <c r="N95" s="21"/>
      <c r="O95" s="21"/>
      <c r="P95" s="21"/>
      <c r="Q95" s="3"/>
      <c r="R95" s="3"/>
    </row>
    <row r="96" spans="1:18">
      <c r="A96" s="3"/>
      <c r="B96" s="41"/>
      <c r="C96" s="3"/>
      <c r="D96" s="3"/>
      <c r="E96" s="3"/>
      <c r="F96" s="3"/>
      <c r="G96" s="3"/>
      <c r="H96" s="3"/>
      <c r="I96" s="3"/>
      <c r="J96" s="3"/>
      <c r="K96" s="3"/>
      <c r="L96" s="3"/>
      <c r="M96" s="21"/>
      <c r="N96" s="21"/>
      <c r="O96" s="21"/>
      <c r="P96" s="21"/>
      <c r="Q96" s="3"/>
      <c r="R96" s="3"/>
    </row>
    <row r="97" spans="1:18">
      <c r="A97" s="3"/>
      <c r="B97" s="41"/>
      <c r="C97" s="3"/>
      <c r="D97" s="3"/>
      <c r="E97" s="3"/>
      <c r="F97" s="3"/>
      <c r="G97" s="3"/>
      <c r="H97" s="3"/>
      <c r="I97" s="3"/>
      <c r="J97" s="3"/>
      <c r="K97" s="3"/>
      <c r="L97" s="3"/>
      <c r="M97" s="21"/>
      <c r="N97" s="21"/>
      <c r="O97" s="21"/>
      <c r="P97" s="21"/>
      <c r="Q97" s="3"/>
      <c r="R97" s="3"/>
    </row>
    <row r="98" spans="1:18">
      <c r="A98" s="3"/>
      <c r="B98" s="41"/>
      <c r="C98" s="3"/>
      <c r="D98" s="3"/>
      <c r="E98" s="3"/>
      <c r="F98" s="3"/>
      <c r="G98" s="3"/>
      <c r="H98" s="3"/>
      <c r="I98" s="3"/>
      <c r="J98" s="3"/>
      <c r="K98" s="3"/>
      <c r="L98" s="3"/>
      <c r="M98" s="21"/>
      <c r="N98" s="21"/>
      <c r="O98" s="21"/>
      <c r="P98" s="21"/>
      <c r="Q98" s="3"/>
      <c r="R98" s="3"/>
    </row>
    <row r="99" spans="1:18">
      <c r="A99" s="3"/>
      <c r="B99" s="41"/>
      <c r="C99" s="3"/>
      <c r="D99" s="3"/>
      <c r="E99" s="3"/>
      <c r="F99" s="3"/>
      <c r="G99" s="3"/>
      <c r="H99" s="3"/>
      <c r="I99" s="3"/>
      <c r="J99" s="3"/>
      <c r="K99" s="3"/>
      <c r="L99" s="3"/>
      <c r="M99" s="21"/>
      <c r="N99" s="21"/>
      <c r="O99" s="21"/>
      <c r="P99" s="21"/>
      <c r="Q99" s="3"/>
      <c r="R99" s="3"/>
    </row>
    <row r="100" spans="1:18">
      <c r="A100" s="3"/>
      <c r="B100" s="4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21"/>
      <c r="N100" s="21"/>
      <c r="O100" s="21"/>
      <c r="P100" s="21"/>
      <c r="Q100" s="3"/>
      <c r="R100" s="3"/>
    </row>
    <row r="101" spans="1:18">
      <c r="A101" s="3"/>
      <c r="B101" s="4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21"/>
      <c r="N101" s="21"/>
      <c r="O101" s="21"/>
      <c r="P101" s="21"/>
      <c r="Q101" s="3"/>
      <c r="R101" s="3"/>
    </row>
    <row r="102" spans="1:18">
      <c r="A102" s="3"/>
      <c r="B102" s="4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21"/>
      <c r="N102" s="21"/>
      <c r="O102" s="21"/>
      <c r="P102" s="21"/>
      <c r="Q102" s="3"/>
      <c r="R102" s="3"/>
    </row>
    <row r="103" spans="1:18">
      <c r="A103" s="3"/>
      <c r="B103" s="4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21"/>
      <c r="N103" s="21"/>
      <c r="O103" s="21"/>
      <c r="P103" s="21"/>
      <c r="Q103" s="3"/>
      <c r="R103" s="3"/>
    </row>
    <row r="104" spans="1:18">
      <c r="A104" s="3"/>
      <c r="B104" s="4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21"/>
      <c r="N104" s="21"/>
      <c r="O104" s="21"/>
      <c r="P104" s="21"/>
      <c r="Q104" s="3"/>
      <c r="R104" s="3"/>
    </row>
    <row r="105" spans="1:18">
      <c r="A105" s="3"/>
      <c r="B105" s="4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21"/>
      <c r="N105" s="21"/>
      <c r="O105" s="21"/>
      <c r="P105" s="21"/>
      <c r="Q105" s="3"/>
      <c r="R105" s="3"/>
    </row>
    <row r="106" spans="1:18">
      <c r="A106" s="3"/>
      <c r="B106" s="4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21"/>
      <c r="N106" s="21"/>
      <c r="O106" s="21"/>
      <c r="P106" s="21"/>
      <c r="Q106" s="3"/>
      <c r="R106" s="3"/>
    </row>
    <row r="107" spans="1:18">
      <c r="A107" s="3"/>
      <c r="B107" s="4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21"/>
      <c r="N107" s="21"/>
      <c r="O107" s="21"/>
      <c r="P107" s="21"/>
      <c r="Q107" s="3"/>
      <c r="R107" s="3"/>
    </row>
    <row r="108" spans="1:18">
      <c r="A108" s="3"/>
      <c r="B108" s="4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21"/>
      <c r="N108" s="21"/>
      <c r="O108" s="21"/>
      <c r="P108" s="21"/>
      <c r="Q108" s="3"/>
      <c r="R108" s="3"/>
    </row>
    <row r="109" spans="1:18">
      <c r="A109" s="3"/>
      <c r="B109" s="4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21"/>
      <c r="N109" s="21"/>
      <c r="O109" s="21"/>
      <c r="P109" s="21"/>
      <c r="Q109" s="3"/>
      <c r="R109" s="3"/>
    </row>
    <row r="110" spans="1:18">
      <c r="A110" s="3"/>
      <c r="B110" s="4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21"/>
      <c r="N110" s="21"/>
      <c r="O110" s="21"/>
      <c r="P110" s="21"/>
      <c r="Q110" s="3"/>
      <c r="R110" s="3"/>
    </row>
    <row r="111" spans="1:18">
      <c r="A111" s="3"/>
      <c r="B111" s="4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21"/>
      <c r="N111" s="21"/>
      <c r="O111" s="21"/>
      <c r="P111" s="21"/>
      <c r="Q111" s="3"/>
      <c r="R111" s="3"/>
    </row>
    <row r="112" spans="1:18">
      <c r="A112" s="3"/>
      <c r="B112" s="4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21"/>
      <c r="N112" s="21"/>
      <c r="O112" s="21"/>
      <c r="P112" s="21"/>
      <c r="Q112" s="3"/>
      <c r="R112" s="3"/>
    </row>
    <row r="113" spans="1:18">
      <c r="A113" s="3"/>
      <c r="B113" s="4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21"/>
      <c r="N113" s="21"/>
      <c r="O113" s="21"/>
      <c r="P113" s="21"/>
      <c r="Q113" s="3"/>
      <c r="R113" s="3"/>
    </row>
    <row r="114" spans="1:18">
      <c r="A114" s="3"/>
      <c r="B114" s="4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21"/>
      <c r="N114" s="21"/>
      <c r="O114" s="21"/>
      <c r="P114" s="21"/>
      <c r="Q114" s="3"/>
      <c r="R114" s="3"/>
    </row>
    <row r="115" spans="1:18">
      <c r="A115" s="3"/>
      <c r="B115" s="4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21"/>
      <c r="N115" s="21"/>
      <c r="O115" s="21"/>
      <c r="P115" s="21"/>
      <c r="Q115" s="3"/>
      <c r="R115" s="3"/>
    </row>
    <row r="116" spans="1:18">
      <c r="A116" s="3"/>
      <c r="B116" s="4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21"/>
      <c r="N116" s="21"/>
      <c r="O116" s="21"/>
      <c r="P116" s="21"/>
      <c r="Q116" s="3"/>
      <c r="R116" s="3"/>
    </row>
    <row r="117" spans="1:18">
      <c r="A117" s="3"/>
      <c r="B117" s="4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21"/>
      <c r="N117" s="21"/>
      <c r="O117" s="21"/>
      <c r="P117" s="21"/>
      <c r="Q117" s="3"/>
      <c r="R117" s="3"/>
    </row>
    <row r="118" spans="1:18">
      <c r="A118" s="3"/>
      <c r="B118" s="4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21"/>
      <c r="N118" s="21"/>
      <c r="O118" s="21"/>
      <c r="P118" s="21"/>
      <c r="Q118" s="3"/>
      <c r="R118" s="3"/>
    </row>
    <row r="119" spans="1:18">
      <c r="A119" s="3"/>
      <c r="B119" s="4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21"/>
      <c r="N119" s="21"/>
      <c r="O119" s="21"/>
      <c r="P119" s="21"/>
      <c r="Q119" s="3"/>
      <c r="R119" s="3"/>
    </row>
    <row r="120" spans="1:18">
      <c r="A120" s="3"/>
      <c r="B120" s="4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21"/>
      <c r="N120" s="21"/>
      <c r="O120" s="21"/>
      <c r="P120" s="21"/>
      <c r="Q120" s="3"/>
      <c r="R120" s="3"/>
    </row>
    <row r="121" spans="1:18">
      <c r="A121" s="3"/>
      <c r="B121" s="4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21"/>
      <c r="N121" s="21"/>
      <c r="O121" s="21"/>
      <c r="P121" s="21"/>
      <c r="Q121" s="3"/>
      <c r="R121" s="3"/>
    </row>
    <row r="122" spans="1:18">
      <c r="A122" s="3"/>
      <c r="B122" s="4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21"/>
      <c r="N122" s="21"/>
      <c r="O122" s="21"/>
      <c r="P122" s="21"/>
      <c r="Q122" s="3"/>
      <c r="R122" s="3"/>
    </row>
    <row r="123" spans="1:18">
      <c r="A123" s="3"/>
      <c r="B123" s="4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21"/>
      <c r="N123" s="21"/>
      <c r="O123" s="21"/>
      <c r="P123" s="21"/>
      <c r="Q123" s="3"/>
      <c r="R123" s="3"/>
    </row>
    <row r="124" spans="1:18">
      <c r="A124" s="3"/>
      <c r="B124" s="4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21"/>
      <c r="N124" s="21"/>
      <c r="O124" s="21"/>
      <c r="P124" s="21"/>
      <c r="Q124" s="3"/>
      <c r="R124" s="3"/>
    </row>
    <row r="125" spans="1:18">
      <c r="A125" s="3"/>
      <c r="B125" s="4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21"/>
      <c r="N125" s="21"/>
      <c r="O125" s="21"/>
      <c r="P125" s="21"/>
      <c r="Q125" s="3"/>
      <c r="R125" s="3"/>
    </row>
    <row r="126" spans="1:18">
      <c r="A126" s="3"/>
      <c r="B126" s="4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21"/>
      <c r="N126" s="21"/>
      <c r="O126" s="21"/>
      <c r="P126" s="21"/>
      <c r="Q126" s="3"/>
      <c r="R126" s="3"/>
    </row>
    <row r="127" spans="1:18">
      <c r="A127" s="3"/>
      <c r="B127" s="4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21"/>
      <c r="N127" s="21"/>
      <c r="O127" s="21"/>
      <c r="P127" s="21"/>
      <c r="Q127" s="3"/>
      <c r="R127" s="3"/>
    </row>
    <row r="128" spans="1:18">
      <c r="A128" s="3"/>
      <c r="B128" s="4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21"/>
      <c r="N128" s="21"/>
      <c r="O128" s="21"/>
      <c r="P128" s="21"/>
      <c r="Q128" s="3"/>
      <c r="R128" s="3"/>
    </row>
    <row r="129" spans="1:18">
      <c r="A129" s="3"/>
      <c r="B129" s="4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21"/>
      <c r="N129" s="21"/>
      <c r="O129" s="21"/>
      <c r="P129" s="21"/>
      <c r="Q129" s="3"/>
      <c r="R129" s="3"/>
    </row>
    <row r="130" spans="1:18">
      <c r="A130" s="3"/>
      <c r="B130" s="4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21"/>
      <c r="N130" s="21"/>
      <c r="O130" s="21"/>
      <c r="P130" s="21"/>
      <c r="Q130" s="3"/>
      <c r="R130" s="3"/>
    </row>
    <row r="131" spans="1:18">
      <c r="A131" s="3"/>
      <c r="B131" s="4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21"/>
      <c r="N131" s="21"/>
      <c r="O131" s="21"/>
      <c r="P131" s="21"/>
      <c r="Q131" s="3"/>
      <c r="R131" s="3"/>
    </row>
    <row r="132" spans="1:18">
      <c r="A132" s="3"/>
      <c r="B132" s="4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21"/>
      <c r="N132" s="21"/>
      <c r="O132" s="21"/>
      <c r="P132" s="21"/>
      <c r="Q132" s="3"/>
      <c r="R132" s="3"/>
    </row>
    <row r="133" spans="1:18">
      <c r="A133" s="3"/>
      <c r="B133" s="4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21"/>
      <c r="N133" s="21"/>
      <c r="O133" s="21"/>
      <c r="P133" s="21"/>
      <c r="Q133" s="3"/>
      <c r="R133" s="3"/>
    </row>
    <row r="134" spans="1:18">
      <c r="A134" s="3"/>
      <c r="B134" s="4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21"/>
      <c r="N134" s="21"/>
      <c r="O134" s="21"/>
      <c r="P134" s="21"/>
      <c r="Q134" s="3"/>
      <c r="R134" s="3"/>
    </row>
    <row r="135" spans="1:18">
      <c r="A135" s="3"/>
      <c r="B135" s="4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21"/>
      <c r="N135" s="21"/>
      <c r="O135" s="21"/>
      <c r="P135" s="21"/>
      <c r="Q135" s="3"/>
      <c r="R135" s="3"/>
    </row>
    <row r="136" spans="1:18">
      <c r="A136" s="3"/>
      <c r="B136" s="4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21"/>
      <c r="N136" s="21"/>
      <c r="O136" s="21"/>
      <c r="P136" s="21"/>
      <c r="Q136" s="3"/>
      <c r="R136" s="3"/>
    </row>
    <row r="137" spans="1:18">
      <c r="A137" s="3"/>
      <c r="B137" s="4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21"/>
      <c r="N137" s="21"/>
      <c r="O137" s="21"/>
      <c r="P137" s="21"/>
      <c r="Q137" s="3"/>
      <c r="R137" s="3"/>
    </row>
    <row r="138" spans="1:18">
      <c r="A138" s="3"/>
      <c r="B138" s="4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21"/>
      <c r="N138" s="21"/>
      <c r="O138" s="21"/>
      <c r="P138" s="21"/>
      <c r="Q138" s="3"/>
      <c r="R138" s="3"/>
    </row>
    <row r="139" spans="1:18">
      <c r="A139" s="3"/>
      <c r="B139" s="4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21"/>
      <c r="N139" s="21"/>
      <c r="O139" s="21"/>
      <c r="P139" s="21"/>
      <c r="Q139" s="3"/>
      <c r="R139" s="3"/>
    </row>
    <row r="140" spans="1:18">
      <c r="A140" s="3"/>
      <c r="B140" s="4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21"/>
      <c r="N140" s="21"/>
      <c r="O140" s="21"/>
      <c r="P140" s="21"/>
      <c r="Q140" s="3"/>
      <c r="R140" s="3"/>
    </row>
    <row r="141" spans="1:18">
      <c r="A141" s="3"/>
      <c r="B141" s="4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21"/>
      <c r="N141" s="21"/>
      <c r="O141" s="21"/>
      <c r="P141" s="21"/>
      <c r="Q141" s="3"/>
      <c r="R141" s="3"/>
    </row>
    <row r="142" spans="1:18">
      <c r="A142" s="3"/>
      <c r="B142" s="4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21"/>
      <c r="N142" s="21"/>
      <c r="O142" s="21"/>
      <c r="P142" s="21"/>
      <c r="Q142" s="3"/>
      <c r="R142" s="3"/>
    </row>
    <row r="143" spans="1:18">
      <c r="A143" s="3"/>
      <c r="B143" s="4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21"/>
      <c r="N143" s="21"/>
      <c r="O143" s="21"/>
      <c r="P143" s="21"/>
      <c r="Q143" s="3"/>
      <c r="R143" s="3"/>
    </row>
    <row r="144" spans="1:18">
      <c r="A144" s="3"/>
      <c r="B144" s="4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21"/>
      <c r="N144" s="21"/>
      <c r="O144" s="21"/>
      <c r="P144" s="21"/>
      <c r="Q144" s="3"/>
      <c r="R144" s="3"/>
    </row>
    <row r="145" spans="1:18">
      <c r="A145" s="3"/>
      <c r="B145" s="4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21"/>
      <c r="N145" s="21"/>
      <c r="O145" s="21"/>
      <c r="P145" s="21"/>
      <c r="Q145" s="3"/>
      <c r="R145" s="3"/>
    </row>
    <row r="146" spans="1:18">
      <c r="A146" s="3"/>
      <c r="B146" s="4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21"/>
      <c r="N146" s="21"/>
      <c r="O146" s="21"/>
      <c r="P146" s="21"/>
      <c r="Q146" s="3"/>
      <c r="R146" s="3"/>
    </row>
    <row r="147" spans="1:18">
      <c r="A147" s="3"/>
      <c r="B147" s="4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21"/>
      <c r="N147" s="21"/>
      <c r="O147" s="21"/>
      <c r="P147" s="21"/>
      <c r="Q147" s="3"/>
      <c r="R147" s="3"/>
    </row>
    <row r="148" spans="1:18">
      <c r="A148" s="3"/>
      <c r="B148" s="4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21"/>
      <c r="N148" s="21"/>
      <c r="O148" s="21"/>
      <c r="P148" s="21"/>
      <c r="Q148" s="3"/>
      <c r="R148" s="3"/>
    </row>
    <row r="149" spans="1:18">
      <c r="A149" s="3"/>
      <c r="B149" s="4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21"/>
      <c r="N149" s="21"/>
      <c r="O149" s="21"/>
      <c r="P149" s="21"/>
      <c r="Q149" s="3"/>
      <c r="R149" s="3"/>
    </row>
    <row r="150" spans="1:18">
      <c r="A150" s="3"/>
      <c r="B150" s="4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21"/>
      <c r="N150" s="21"/>
      <c r="O150" s="21"/>
      <c r="P150" s="21"/>
      <c r="Q150" s="3"/>
      <c r="R150" s="3"/>
    </row>
    <row r="151" spans="1:18">
      <c r="A151" s="3"/>
      <c r="B151" s="4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21"/>
      <c r="N151" s="21"/>
      <c r="O151" s="21"/>
      <c r="P151" s="21"/>
      <c r="Q151" s="3"/>
      <c r="R151" s="3"/>
    </row>
    <row r="152" spans="1:18">
      <c r="A152" s="3"/>
      <c r="B152" s="4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21"/>
      <c r="N152" s="21"/>
      <c r="O152" s="21"/>
      <c r="P152" s="21"/>
      <c r="Q152" s="3"/>
      <c r="R152" s="3"/>
    </row>
    <row r="153" spans="1:18">
      <c r="A153" s="3"/>
      <c r="B153" s="4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21"/>
      <c r="N153" s="21"/>
      <c r="O153" s="21"/>
      <c r="P153" s="21"/>
      <c r="Q153" s="3"/>
      <c r="R153" s="3"/>
    </row>
    <row r="154" spans="1:18">
      <c r="A154" s="3"/>
      <c r="B154" s="4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21"/>
      <c r="N154" s="21"/>
      <c r="O154" s="21"/>
      <c r="P154" s="21"/>
      <c r="Q154" s="3"/>
      <c r="R154" s="3"/>
    </row>
    <row r="155" spans="1:18">
      <c r="A155" s="3"/>
      <c r="B155" s="4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21"/>
      <c r="N155" s="21"/>
      <c r="O155" s="21"/>
      <c r="P155" s="21"/>
      <c r="Q155" s="3"/>
      <c r="R155" s="3"/>
    </row>
    <row r="156" spans="1:18">
      <c r="A156" s="3"/>
      <c r="B156" s="4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21"/>
      <c r="N156" s="21"/>
      <c r="O156" s="21"/>
      <c r="P156" s="21"/>
      <c r="Q156" s="3"/>
      <c r="R156" s="3"/>
    </row>
    <row r="157" spans="1:18">
      <c r="A157" s="3"/>
      <c r="B157" s="4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21"/>
      <c r="N157" s="21"/>
      <c r="O157" s="21"/>
      <c r="P157" s="21"/>
      <c r="Q157" s="3"/>
      <c r="R157" s="3"/>
    </row>
    <row r="158" spans="1:18">
      <c r="A158" s="3"/>
      <c r="B158" s="4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21"/>
      <c r="N158" s="21"/>
      <c r="O158" s="21"/>
      <c r="P158" s="21"/>
      <c r="Q158" s="3"/>
      <c r="R158" s="3"/>
    </row>
    <row r="159" spans="1:18">
      <c r="A159" s="3"/>
      <c r="B159" s="4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21"/>
      <c r="N159" s="21"/>
      <c r="O159" s="21"/>
      <c r="P159" s="21"/>
      <c r="Q159" s="3"/>
      <c r="R159" s="3"/>
    </row>
    <row r="160" spans="1:18">
      <c r="A160" s="3"/>
      <c r="B160" s="4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21"/>
      <c r="N160" s="21"/>
      <c r="O160" s="21"/>
      <c r="P160" s="21"/>
      <c r="Q160" s="3"/>
      <c r="R160" s="3"/>
    </row>
    <row r="161" spans="1:18">
      <c r="A161" s="3"/>
      <c r="B161" s="4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21"/>
      <c r="N161" s="21"/>
      <c r="O161" s="21"/>
      <c r="P161" s="21"/>
      <c r="Q161" s="3"/>
      <c r="R161" s="3"/>
    </row>
    <row r="162" spans="1:18">
      <c r="A162" s="3"/>
      <c r="B162" s="4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21"/>
      <c r="N162" s="21"/>
      <c r="O162" s="21"/>
      <c r="P162" s="21"/>
      <c r="Q162" s="3"/>
      <c r="R162" s="3"/>
    </row>
    <row r="163" spans="1:18">
      <c r="A163" s="3"/>
      <c r="B163" s="4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21"/>
      <c r="N163" s="21"/>
      <c r="O163" s="21"/>
      <c r="P163" s="21"/>
      <c r="Q163" s="3"/>
      <c r="R163" s="3"/>
    </row>
    <row r="164" spans="1:18">
      <c r="A164" s="3"/>
      <c r="B164" s="4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21"/>
      <c r="N164" s="21"/>
      <c r="O164" s="21"/>
      <c r="P164" s="21"/>
      <c r="Q164" s="3"/>
      <c r="R164" s="3"/>
    </row>
    <row r="165" spans="1:18">
      <c r="A165" s="3"/>
      <c r="B165" s="4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21"/>
      <c r="N165" s="21"/>
      <c r="O165" s="21"/>
      <c r="P165" s="21"/>
      <c r="Q165" s="3"/>
      <c r="R165" s="3"/>
    </row>
    <row r="166" spans="1:18">
      <c r="A166" s="3"/>
      <c r="B166" s="4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21"/>
      <c r="N166" s="21"/>
      <c r="O166" s="21"/>
      <c r="P166" s="21"/>
      <c r="Q166" s="3"/>
      <c r="R166" s="3"/>
    </row>
    <row r="167" spans="1:18">
      <c r="A167" s="3"/>
      <c r="B167" s="4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21"/>
      <c r="N167" s="21"/>
      <c r="O167" s="21"/>
      <c r="P167" s="21"/>
      <c r="Q167" s="3"/>
      <c r="R167" s="3"/>
    </row>
    <row r="168" spans="1:18">
      <c r="A168" s="3"/>
      <c r="B168" s="4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21"/>
      <c r="N168" s="21"/>
      <c r="O168" s="21"/>
      <c r="P168" s="21"/>
      <c r="Q168" s="3"/>
      <c r="R168" s="3"/>
    </row>
    <row r="169" spans="1:18">
      <c r="A169" s="3"/>
      <c r="B169" s="4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21"/>
      <c r="N169" s="21"/>
      <c r="O169" s="21"/>
      <c r="P169" s="21"/>
      <c r="Q169" s="3"/>
      <c r="R169" s="3"/>
    </row>
    <row r="170" spans="1:18">
      <c r="A170" s="3"/>
      <c r="B170" s="4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21"/>
      <c r="N170" s="21"/>
      <c r="O170" s="21"/>
      <c r="P170" s="21"/>
      <c r="Q170" s="3"/>
      <c r="R170" s="3"/>
    </row>
    <row r="171" spans="1:18">
      <c r="A171" s="3"/>
      <c r="B171" s="4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21"/>
      <c r="N171" s="21"/>
      <c r="O171" s="21"/>
      <c r="P171" s="21"/>
      <c r="Q171" s="3"/>
      <c r="R171" s="3"/>
    </row>
    <row r="172" spans="1:18">
      <c r="A172" s="3"/>
      <c r="B172" s="4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21"/>
      <c r="N172" s="21"/>
      <c r="O172" s="21"/>
      <c r="P172" s="21"/>
      <c r="Q172" s="3"/>
      <c r="R172" s="3"/>
    </row>
    <row r="173" spans="1:18">
      <c r="A173" s="3"/>
      <c r="B173" s="4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21"/>
      <c r="N173" s="21"/>
      <c r="O173" s="21"/>
      <c r="P173" s="21"/>
      <c r="Q173" s="3"/>
      <c r="R173" s="3"/>
    </row>
    <row r="174" spans="1:18">
      <c r="A174" s="3"/>
      <c r="B174" s="4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21"/>
      <c r="N174" s="21"/>
      <c r="O174" s="21"/>
      <c r="P174" s="21"/>
      <c r="Q174" s="3"/>
      <c r="R174" s="3"/>
    </row>
    <row r="175" spans="1:18">
      <c r="A175" s="3"/>
      <c r="B175" s="4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21"/>
      <c r="N175" s="21"/>
      <c r="O175" s="21"/>
      <c r="P175" s="21"/>
      <c r="Q175" s="3"/>
      <c r="R175" s="3"/>
    </row>
    <row r="176" spans="1:18">
      <c r="A176" s="3"/>
      <c r="B176" s="4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21"/>
      <c r="N176" s="21"/>
      <c r="O176" s="21"/>
      <c r="P176" s="21"/>
      <c r="Q176" s="3"/>
      <c r="R176" s="3"/>
    </row>
    <row r="177" spans="1:18">
      <c r="A177" s="3"/>
      <c r="B177" s="4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21"/>
      <c r="N177" s="21"/>
      <c r="O177" s="21"/>
      <c r="P177" s="21"/>
      <c r="Q177" s="3"/>
      <c r="R177" s="3"/>
    </row>
    <row r="178" spans="1:18">
      <c r="A178" s="3"/>
      <c r="B178" s="4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21"/>
      <c r="N178" s="21"/>
      <c r="O178" s="21"/>
      <c r="P178" s="21"/>
      <c r="Q178" s="3"/>
      <c r="R178" s="3"/>
    </row>
    <row r="179" spans="1:18">
      <c r="A179" s="3"/>
      <c r="B179" s="4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21"/>
      <c r="N179" s="21"/>
      <c r="O179" s="21"/>
      <c r="P179" s="21"/>
      <c r="Q179" s="3"/>
      <c r="R179" s="3"/>
    </row>
    <row r="180" spans="1:18">
      <c r="A180" s="3"/>
      <c r="B180" s="4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21"/>
      <c r="N180" s="21"/>
      <c r="O180" s="21"/>
      <c r="P180" s="21"/>
      <c r="Q180" s="3"/>
      <c r="R180" s="3"/>
    </row>
    <row r="181" spans="1:18">
      <c r="A181" s="3"/>
      <c r="B181" s="4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21"/>
      <c r="N181" s="21"/>
      <c r="O181" s="21"/>
      <c r="P181" s="21"/>
      <c r="Q181" s="3"/>
      <c r="R181" s="3"/>
    </row>
    <row r="182" spans="1:18">
      <c r="A182" s="3"/>
      <c r="B182" s="4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21"/>
      <c r="N182" s="21"/>
      <c r="O182" s="21"/>
      <c r="P182" s="21"/>
      <c r="Q182" s="3"/>
      <c r="R182" s="3"/>
    </row>
    <row r="183" spans="1:18">
      <c r="A183" s="3"/>
      <c r="B183" s="4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21"/>
      <c r="N183" s="21"/>
      <c r="O183" s="21"/>
      <c r="P183" s="21"/>
      <c r="Q183" s="3"/>
      <c r="R183" s="3"/>
    </row>
    <row r="184" spans="1:18">
      <c r="A184" s="3"/>
      <c r="B184" s="4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21"/>
      <c r="N184" s="21"/>
      <c r="O184" s="21"/>
      <c r="P184" s="21"/>
      <c r="Q184" s="3"/>
      <c r="R184" s="3"/>
    </row>
    <row r="185" spans="1:18">
      <c r="A185" s="3"/>
      <c r="B185" s="4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21"/>
      <c r="N185" s="21"/>
      <c r="O185" s="21"/>
      <c r="P185" s="21"/>
      <c r="Q185" s="3"/>
      <c r="R185" s="3"/>
    </row>
    <row r="186" spans="1:18">
      <c r="A186" s="3"/>
      <c r="B186" s="4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21"/>
      <c r="N186" s="21"/>
      <c r="O186" s="21"/>
      <c r="P186" s="21"/>
      <c r="Q186" s="3"/>
      <c r="R186" s="3"/>
    </row>
    <row r="187" spans="1:18">
      <c r="A187" s="3"/>
      <c r="B187" s="4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21"/>
      <c r="N187" s="21"/>
      <c r="O187" s="21"/>
      <c r="P187" s="21"/>
      <c r="Q187" s="3"/>
      <c r="R187" s="3"/>
    </row>
    <row r="188" spans="1:18">
      <c r="A188" s="3"/>
      <c r="B188" s="4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21"/>
      <c r="N188" s="21"/>
      <c r="O188" s="21"/>
      <c r="P188" s="21"/>
      <c r="Q188" s="3"/>
      <c r="R188" s="3"/>
    </row>
    <row r="189" spans="1:18">
      <c r="A189" s="3"/>
      <c r="B189" s="4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21"/>
      <c r="N189" s="21"/>
      <c r="O189" s="21"/>
      <c r="P189" s="21"/>
      <c r="Q189" s="3"/>
      <c r="R189" s="3"/>
    </row>
    <row r="190" spans="1:18">
      <c r="A190" s="3"/>
      <c r="B190" s="4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21"/>
      <c r="N190" s="21"/>
      <c r="O190" s="21"/>
      <c r="P190" s="21"/>
      <c r="Q190" s="3"/>
      <c r="R190" s="3"/>
    </row>
    <row r="191" spans="1:18">
      <c r="A191" s="3"/>
      <c r="B191" s="4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21"/>
      <c r="N191" s="21"/>
      <c r="O191" s="21"/>
      <c r="P191" s="21"/>
      <c r="Q191" s="3"/>
      <c r="R191" s="3"/>
    </row>
    <row r="192" spans="1:18">
      <c r="A192" s="3"/>
      <c r="B192" s="4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21"/>
      <c r="N192" s="21"/>
      <c r="O192" s="21"/>
      <c r="P192" s="21"/>
      <c r="Q192" s="3"/>
      <c r="R192" s="3"/>
    </row>
    <row r="193" spans="1:18">
      <c r="A193" s="3"/>
      <c r="B193" s="4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21"/>
      <c r="N193" s="21"/>
      <c r="O193" s="21"/>
      <c r="P193" s="21"/>
      <c r="Q193" s="3"/>
      <c r="R193" s="3"/>
    </row>
    <row r="194" spans="1:18">
      <c r="A194" s="3"/>
      <c r="B194" s="4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21"/>
      <c r="N194" s="21"/>
      <c r="O194" s="21"/>
      <c r="P194" s="21"/>
      <c r="Q194" s="3"/>
      <c r="R194" s="3"/>
    </row>
    <row r="195" spans="1:18">
      <c r="A195" s="3"/>
      <c r="B195" s="4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21"/>
      <c r="N195" s="21"/>
      <c r="O195" s="21"/>
      <c r="P195" s="21"/>
      <c r="Q195" s="3"/>
      <c r="R195" s="3"/>
    </row>
    <row r="196" spans="1:18">
      <c r="A196" s="3"/>
      <c r="B196" s="4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21"/>
      <c r="N196" s="21"/>
      <c r="O196" s="21"/>
      <c r="P196" s="21"/>
      <c r="Q196" s="3"/>
      <c r="R196" s="3"/>
    </row>
    <row r="197" spans="1:18">
      <c r="A197" s="3"/>
      <c r="B197" s="4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21"/>
      <c r="N197" s="21"/>
      <c r="O197" s="21"/>
      <c r="P197" s="21"/>
      <c r="Q197" s="3"/>
      <c r="R197" s="3"/>
    </row>
    <row r="198" spans="1:18">
      <c r="A198" s="3"/>
      <c r="B198" s="4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21"/>
      <c r="N198" s="21"/>
      <c r="O198" s="21"/>
      <c r="P198" s="21"/>
      <c r="Q198" s="3"/>
      <c r="R198" s="3"/>
    </row>
    <row r="199" spans="1:18">
      <c r="A199" s="3"/>
      <c r="B199" s="4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21"/>
      <c r="N199" s="21"/>
      <c r="O199" s="21"/>
      <c r="P199" s="21"/>
      <c r="Q199" s="3"/>
      <c r="R199" s="3"/>
    </row>
    <row r="200" spans="1:18">
      <c r="A200" s="3"/>
      <c r="B200" s="4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21"/>
      <c r="N200" s="21"/>
      <c r="O200" s="21"/>
      <c r="P200" s="21"/>
      <c r="Q200" s="3"/>
      <c r="R200" s="3"/>
    </row>
    <row r="201" spans="1:18">
      <c r="A201" s="3"/>
      <c r="B201" s="4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21"/>
      <c r="N201" s="21"/>
      <c r="O201" s="21"/>
      <c r="P201" s="21"/>
      <c r="Q201" s="3"/>
      <c r="R201" s="3"/>
    </row>
    <row r="202" spans="1:18">
      <c r="A202" s="3"/>
      <c r="B202" s="4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21"/>
      <c r="N202" s="21"/>
      <c r="O202" s="21"/>
      <c r="P202" s="21"/>
      <c r="Q202" s="3"/>
      <c r="R202" s="3"/>
    </row>
    <row r="203" spans="1:18">
      <c r="A203" s="3"/>
      <c r="B203" s="4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21"/>
      <c r="N203" s="21"/>
      <c r="O203" s="21"/>
      <c r="P203" s="21"/>
      <c r="Q203" s="3"/>
      <c r="R203" s="3"/>
    </row>
    <row r="204" spans="1:18">
      <c r="A204" s="3"/>
      <c r="B204" s="4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21"/>
      <c r="N204" s="21"/>
      <c r="O204" s="21"/>
      <c r="P204" s="21"/>
      <c r="Q204" s="3"/>
      <c r="R204" s="3"/>
    </row>
    <row r="205" spans="1:18">
      <c r="A205" s="3"/>
      <c r="B205" s="4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21"/>
      <c r="N205" s="21"/>
      <c r="O205" s="21"/>
      <c r="P205" s="21"/>
      <c r="Q205" s="3"/>
      <c r="R205" s="3"/>
    </row>
    <row r="206" spans="1:18">
      <c r="A206" s="3"/>
      <c r="B206" s="4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21"/>
      <c r="N206" s="21"/>
      <c r="O206" s="21"/>
      <c r="P206" s="21"/>
      <c r="Q206" s="3"/>
      <c r="R206" s="3"/>
    </row>
    <row r="207" spans="1:18">
      <c r="A207" s="3"/>
      <c r="B207" s="4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21"/>
      <c r="N207" s="21"/>
      <c r="O207" s="21"/>
      <c r="P207" s="21"/>
      <c r="Q207" s="3"/>
      <c r="R207" s="3"/>
    </row>
    <row r="208" spans="1:18">
      <c r="A208" s="3"/>
      <c r="B208" s="4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21"/>
      <c r="N208" s="21"/>
      <c r="O208" s="21"/>
      <c r="P208" s="21"/>
      <c r="Q208" s="3"/>
      <c r="R208" s="3"/>
    </row>
    <row r="209" spans="1:18">
      <c r="A209" s="3"/>
      <c r="B209" s="4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21"/>
      <c r="N209" s="21"/>
      <c r="O209" s="21"/>
      <c r="P209" s="21"/>
      <c r="Q209" s="3"/>
      <c r="R209" s="3"/>
    </row>
    <row r="210" spans="1:18">
      <c r="A210" s="3"/>
      <c r="B210" s="4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21"/>
      <c r="N210" s="21"/>
      <c r="O210" s="21"/>
      <c r="P210" s="21"/>
      <c r="Q210" s="3"/>
      <c r="R210" s="3"/>
    </row>
    <row r="211" spans="1:18">
      <c r="A211" s="3"/>
      <c r="B211" s="4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21"/>
      <c r="N211" s="21"/>
      <c r="O211" s="21"/>
      <c r="P211" s="21"/>
      <c r="Q211" s="3"/>
      <c r="R211" s="3"/>
    </row>
    <row r="212" spans="1:18">
      <c r="A212" s="3"/>
      <c r="B212" s="4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21"/>
      <c r="N212" s="21"/>
      <c r="O212" s="21"/>
      <c r="P212" s="21"/>
      <c r="Q212" s="3"/>
      <c r="R212" s="3"/>
    </row>
    <row r="213" spans="1:18">
      <c r="A213" s="3"/>
      <c r="B213" s="4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21"/>
      <c r="N213" s="21"/>
      <c r="O213" s="21"/>
      <c r="P213" s="21"/>
      <c r="Q213" s="3"/>
      <c r="R213" s="3"/>
    </row>
    <row r="214" spans="1:18">
      <c r="A214" s="3"/>
      <c r="B214" s="4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21"/>
      <c r="N214" s="21"/>
      <c r="O214" s="21"/>
      <c r="P214" s="21"/>
      <c r="Q214" s="3"/>
      <c r="R214" s="3"/>
    </row>
    <row r="215" spans="1:18">
      <c r="A215" s="3"/>
      <c r="B215" s="4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21"/>
      <c r="N215" s="21"/>
      <c r="O215" s="21"/>
      <c r="P215" s="21"/>
      <c r="Q215" s="3"/>
      <c r="R215" s="3"/>
    </row>
    <row r="216" spans="1:18">
      <c r="A216" s="3"/>
      <c r="B216" s="4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21"/>
      <c r="N216" s="21"/>
      <c r="O216" s="21"/>
      <c r="P216" s="21"/>
      <c r="Q216" s="3"/>
      <c r="R216" s="3"/>
    </row>
    <row r="217" spans="1:18">
      <c r="A217" s="3"/>
      <c r="B217" s="4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21"/>
      <c r="N217" s="21"/>
      <c r="O217" s="21"/>
      <c r="P217" s="21"/>
      <c r="Q217" s="3"/>
      <c r="R217" s="3"/>
    </row>
    <row r="218" spans="1:18">
      <c r="A218" s="3"/>
      <c r="B218" s="4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21"/>
      <c r="N218" s="21"/>
      <c r="O218" s="21"/>
      <c r="P218" s="21"/>
      <c r="Q218" s="3"/>
      <c r="R218" s="3"/>
    </row>
    <row r="219" spans="1:18">
      <c r="A219" s="3"/>
      <c r="B219" s="4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21"/>
      <c r="N219" s="21"/>
      <c r="O219" s="21"/>
      <c r="P219" s="21"/>
      <c r="Q219" s="3"/>
      <c r="R219" s="3"/>
    </row>
    <row r="220" spans="1:18">
      <c r="A220" s="3"/>
      <c r="B220" s="4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21"/>
      <c r="N220" s="21"/>
      <c r="O220" s="21"/>
      <c r="P220" s="21"/>
      <c r="Q220" s="3"/>
      <c r="R220" s="3"/>
    </row>
    <row r="221" spans="1:18">
      <c r="A221" s="3"/>
      <c r="B221" s="4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21"/>
      <c r="N221" s="21"/>
      <c r="O221" s="21"/>
      <c r="P221" s="21"/>
      <c r="Q221" s="3"/>
      <c r="R221" s="3"/>
    </row>
    <row r="222" spans="1:18">
      <c r="A222" s="3"/>
      <c r="B222" s="4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21"/>
      <c r="N222" s="21"/>
      <c r="O222" s="21"/>
      <c r="P222" s="21"/>
      <c r="Q222" s="3"/>
      <c r="R222" s="3"/>
    </row>
    <row r="223" spans="1:18">
      <c r="A223" s="3"/>
      <c r="B223" s="4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21"/>
      <c r="N223" s="21"/>
      <c r="O223" s="21"/>
      <c r="P223" s="21"/>
      <c r="Q223" s="3"/>
      <c r="R223" s="3"/>
    </row>
    <row r="224" spans="1:18">
      <c r="A224" s="3"/>
      <c r="B224" s="4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21"/>
      <c r="N224" s="21"/>
      <c r="O224" s="21"/>
      <c r="P224" s="21"/>
      <c r="Q224" s="3"/>
      <c r="R224" s="3"/>
    </row>
    <row r="225" spans="1:18">
      <c r="A225" s="3"/>
      <c r="B225" s="4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21"/>
      <c r="N225" s="21"/>
      <c r="O225" s="21"/>
      <c r="P225" s="21"/>
      <c r="Q225" s="3"/>
      <c r="R225" s="3"/>
    </row>
    <row r="226" spans="1:18">
      <c r="A226" s="3"/>
      <c r="B226" s="4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21"/>
      <c r="N226" s="21"/>
      <c r="O226" s="21"/>
      <c r="P226" s="21"/>
      <c r="Q226" s="3"/>
      <c r="R226" s="3"/>
    </row>
    <row r="227" spans="1:18">
      <c r="A227" s="3"/>
      <c r="B227" s="4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21"/>
      <c r="N227" s="21"/>
      <c r="O227" s="21"/>
      <c r="P227" s="21"/>
      <c r="Q227" s="3"/>
      <c r="R227" s="3"/>
    </row>
    <row r="228" spans="1:18">
      <c r="A228" s="3"/>
      <c r="B228" s="4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21"/>
      <c r="N228" s="21"/>
      <c r="O228" s="21"/>
      <c r="P228" s="21"/>
      <c r="Q228" s="3"/>
      <c r="R228" s="3"/>
    </row>
    <row r="229" spans="1:18">
      <c r="A229" s="3"/>
      <c r="B229" s="4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21"/>
      <c r="N229" s="21"/>
      <c r="O229" s="21"/>
      <c r="P229" s="21"/>
      <c r="Q229" s="3"/>
      <c r="R229" s="3"/>
    </row>
    <row r="230" spans="1:18">
      <c r="A230" s="3"/>
      <c r="B230" s="4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21"/>
      <c r="N230" s="21"/>
      <c r="O230" s="21"/>
      <c r="P230" s="21"/>
      <c r="Q230" s="3"/>
      <c r="R230" s="3"/>
    </row>
    <row r="231" spans="1:18">
      <c r="A231" s="3"/>
      <c r="B231" s="4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21"/>
      <c r="N231" s="21"/>
      <c r="O231" s="21"/>
      <c r="P231" s="21"/>
      <c r="Q231" s="3"/>
      <c r="R231" s="3"/>
    </row>
    <row r="232" spans="1:18">
      <c r="A232" s="3"/>
      <c r="B232" s="4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21"/>
      <c r="N232" s="21"/>
      <c r="O232" s="21"/>
      <c r="P232" s="21"/>
      <c r="Q232" s="3"/>
      <c r="R232" s="3"/>
    </row>
    <row r="233" spans="1:18">
      <c r="A233" s="3"/>
      <c r="B233" s="4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21"/>
      <c r="N233" s="21"/>
      <c r="O233" s="21"/>
      <c r="P233" s="21"/>
      <c r="Q233" s="3"/>
      <c r="R233" s="3"/>
    </row>
    <row r="234" spans="1:18">
      <c r="A234" s="3"/>
      <c r="B234" s="4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21"/>
      <c r="N234" s="21"/>
      <c r="O234" s="21"/>
      <c r="P234" s="21"/>
      <c r="Q234" s="3"/>
      <c r="R234" s="3"/>
    </row>
    <row r="235" spans="1:18">
      <c r="A235" s="3"/>
      <c r="B235" s="4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21"/>
      <c r="N235" s="21"/>
      <c r="O235" s="21"/>
      <c r="P235" s="21"/>
      <c r="Q235" s="3"/>
      <c r="R235" s="3"/>
    </row>
    <row r="236" spans="1:18">
      <c r="A236" s="3"/>
      <c r="B236" s="4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21"/>
      <c r="N236" s="21"/>
      <c r="O236" s="21"/>
      <c r="P236" s="21"/>
      <c r="Q236" s="3"/>
      <c r="R236" s="3"/>
    </row>
    <row r="237" spans="1:18">
      <c r="A237" s="3"/>
      <c r="B237" s="4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21"/>
      <c r="N237" s="21"/>
      <c r="O237" s="21"/>
      <c r="P237" s="21"/>
      <c r="Q237" s="3"/>
      <c r="R237" s="3"/>
    </row>
    <row r="238" spans="1:18">
      <c r="A238" s="3"/>
      <c r="B238" s="4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21"/>
      <c r="N238" s="21"/>
      <c r="O238" s="21"/>
      <c r="P238" s="21"/>
      <c r="Q238" s="3"/>
      <c r="R238" s="3"/>
    </row>
    <row r="239" spans="1:18">
      <c r="A239" s="3"/>
      <c r="B239" s="4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21"/>
      <c r="N239" s="21"/>
      <c r="O239" s="21"/>
      <c r="P239" s="21"/>
      <c r="Q239" s="3"/>
      <c r="R239" s="3"/>
    </row>
    <row r="240" spans="1:18">
      <c r="A240" s="3"/>
      <c r="B240" s="4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21"/>
      <c r="N240" s="21"/>
      <c r="O240" s="21"/>
      <c r="P240" s="21"/>
      <c r="Q240" s="3"/>
      <c r="R240" s="3"/>
    </row>
    <row r="241" spans="1:18">
      <c r="A241" s="3"/>
      <c r="B241" s="4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21"/>
      <c r="N241" s="21"/>
      <c r="O241" s="21"/>
      <c r="P241" s="21"/>
      <c r="Q241" s="3"/>
      <c r="R241" s="3"/>
    </row>
    <row r="242" spans="1:18">
      <c r="A242" s="3"/>
      <c r="B242" s="4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21"/>
      <c r="N242" s="21"/>
      <c r="O242" s="21"/>
      <c r="P242" s="21"/>
      <c r="Q242" s="3"/>
      <c r="R242" s="3"/>
    </row>
    <row r="243" spans="1:18">
      <c r="A243" s="3"/>
      <c r="B243" s="4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21"/>
      <c r="N243" s="21"/>
      <c r="O243" s="21"/>
      <c r="P243" s="21"/>
      <c r="Q243" s="3"/>
      <c r="R243" s="3"/>
    </row>
    <row r="244" spans="1:18">
      <c r="A244" s="3"/>
      <c r="B244" s="4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21"/>
      <c r="N244" s="21"/>
      <c r="O244" s="21"/>
      <c r="P244" s="21"/>
      <c r="Q244" s="3"/>
      <c r="R244" s="3"/>
    </row>
    <row r="245" spans="1:18">
      <c r="A245" s="3"/>
      <c r="B245" s="4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21"/>
      <c r="N245" s="21"/>
      <c r="O245" s="21"/>
      <c r="P245" s="21"/>
      <c r="Q245" s="3"/>
      <c r="R245" s="3"/>
    </row>
    <row r="246" spans="1:18">
      <c r="A246" s="3"/>
      <c r="B246" s="4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21"/>
      <c r="N246" s="21"/>
      <c r="O246" s="21"/>
      <c r="P246" s="21"/>
      <c r="Q246" s="3"/>
      <c r="R246" s="3"/>
    </row>
    <row r="247" spans="1:18">
      <c r="A247" s="3"/>
      <c r="B247" s="4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21"/>
      <c r="N247" s="21"/>
      <c r="O247" s="21"/>
      <c r="P247" s="21"/>
      <c r="Q247" s="3"/>
      <c r="R247" s="3"/>
    </row>
    <row r="248" spans="1:18">
      <c r="A248" s="3"/>
      <c r="B248" s="4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21"/>
      <c r="N248" s="21"/>
      <c r="O248" s="21"/>
      <c r="P248" s="21"/>
      <c r="Q248" s="3"/>
      <c r="R248" s="3"/>
    </row>
    <row r="249" spans="1:18">
      <c r="A249" s="3"/>
      <c r="B249" s="4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21"/>
      <c r="N249" s="21"/>
      <c r="O249" s="21"/>
      <c r="P249" s="21"/>
      <c r="Q249" s="3"/>
      <c r="R249" s="3"/>
    </row>
    <row r="250" spans="1:18">
      <c r="A250" s="3"/>
      <c r="B250" s="4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21"/>
      <c r="N250" s="21"/>
      <c r="O250" s="21"/>
      <c r="P250" s="21"/>
      <c r="Q250" s="3"/>
      <c r="R250" s="3"/>
    </row>
    <row r="251" spans="1:18">
      <c r="A251" s="3"/>
      <c r="B251" s="4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21"/>
      <c r="N251" s="21"/>
      <c r="O251" s="21"/>
      <c r="P251" s="21"/>
      <c r="Q251" s="3"/>
      <c r="R251" s="3"/>
    </row>
    <row r="252" spans="1:18">
      <c r="A252" s="3"/>
      <c r="B252" s="4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21"/>
      <c r="N252" s="21"/>
      <c r="O252" s="21"/>
      <c r="P252" s="21"/>
      <c r="Q252" s="3"/>
      <c r="R252" s="3"/>
    </row>
    <row r="253" spans="1:18">
      <c r="A253" s="3"/>
      <c r="B253" s="4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21"/>
      <c r="N253" s="21"/>
      <c r="O253" s="21"/>
      <c r="P253" s="21"/>
      <c r="Q253" s="3"/>
      <c r="R253" s="3"/>
    </row>
    <row r="254" spans="1:18">
      <c r="A254" s="3"/>
      <c r="B254" s="4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21"/>
      <c r="N254" s="21"/>
      <c r="O254" s="21"/>
      <c r="P254" s="21"/>
      <c r="Q254" s="3"/>
      <c r="R254" s="3"/>
    </row>
    <row r="255" spans="1:18">
      <c r="A255" s="3"/>
      <c r="B255" s="4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21"/>
      <c r="N255" s="21"/>
      <c r="O255" s="21"/>
      <c r="P255" s="21"/>
      <c r="Q255" s="3"/>
      <c r="R255" s="3"/>
    </row>
    <row r="256" spans="1:18">
      <c r="A256" s="3"/>
      <c r="B256" s="4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21"/>
      <c r="N256" s="21"/>
      <c r="O256" s="21"/>
      <c r="P256" s="21"/>
      <c r="Q256" s="3"/>
      <c r="R256" s="3"/>
    </row>
    <row r="257" spans="1:18">
      <c r="A257" s="3"/>
      <c r="B257" s="4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21"/>
      <c r="N257" s="21"/>
      <c r="O257" s="21"/>
      <c r="P257" s="21"/>
      <c r="Q257" s="3"/>
      <c r="R257" s="3"/>
    </row>
    <row r="258" spans="1:18">
      <c r="A258" s="3"/>
      <c r="B258" s="4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21"/>
      <c r="N258" s="21"/>
      <c r="O258" s="21"/>
      <c r="P258" s="21"/>
      <c r="Q258" s="3"/>
      <c r="R258" s="3"/>
    </row>
    <row r="259" spans="1:18">
      <c r="A259" s="3"/>
      <c r="B259" s="4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21"/>
      <c r="N259" s="21"/>
      <c r="O259" s="21"/>
      <c r="P259" s="21"/>
      <c r="Q259" s="3"/>
      <c r="R259" s="3"/>
    </row>
    <row r="260" spans="1:18">
      <c r="A260" s="3"/>
      <c r="B260" s="4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21"/>
      <c r="N260" s="21"/>
      <c r="O260" s="21"/>
      <c r="P260" s="21"/>
      <c r="Q260" s="3"/>
      <c r="R260" s="3"/>
    </row>
    <row r="261" spans="1:18">
      <c r="A261" s="3"/>
      <c r="B261" s="4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21"/>
      <c r="N261" s="21"/>
      <c r="O261" s="21"/>
      <c r="P261" s="21"/>
      <c r="Q261" s="3"/>
      <c r="R261" s="3"/>
    </row>
    <row r="262" spans="1:18">
      <c r="A262" s="3"/>
      <c r="B262" s="4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21"/>
      <c r="N262" s="21"/>
      <c r="O262" s="21"/>
      <c r="P262" s="21"/>
      <c r="Q262" s="3"/>
      <c r="R262" s="3"/>
    </row>
    <row r="263" spans="1:18">
      <c r="A263" s="3"/>
      <c r="B263" s="4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21"/>
      <c r="N263" s="21"/>
      <c r="O263" s="21"/>
      <c r="P263" s="21"/>
      <c r="Q263" s="3"/>
      <c r="R263" s="3"/>
    </row>
    <row r="264" spans="1:18">
      <c r="A264" s="3"/>
      <c r="B264" s="4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21"/>
      <c r="N264" s="21"/>
      <c r="O264" s="21"/>
      <c r="P264" s="21"/>
      <c r="Q264" s="3"/>
      <c r="R264" s="3"/>
    </row>
    <row r="265" spans="1:18">
      <c r="A265" s="3"/>
      <c r="B265" s="4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21"/>
      <c r="N265" s="21"/>
      <c r="O265" s="21"/>
      <c r="P265" s="21"/>
      <c r="Q265" s="3"/>
      <c r="R265" s="3"/>
    </row>
    <row r="266" spans="1:18">
      <c r="A266" s="3"/>
      <c r="B266" s="4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21"/>
      <c r="N266" s="21"/>
      <c r="O266" s="21"/>
      <c r="P266" s="21"/>
      <c r="Q266" s="3"/>
      <c r="R266" s="3"/>
    </row>
    <row r="267" spans="1:18">
      <c r="A267" s="3"/>
      <c r="B267" s="4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21"/>
      <c r="N267" s="21"/>
      <c r="O267" s="21"/>
      <c r="P267" s="21"/>
      <c r="Q267" s="3"/>
      <c r="R267" s="3"/>
    </row>
    <row r="268" spans="1:18">
      <c r="A268" s="3"/>
      <c r="B268" s="4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21"/>
      <c r="N268" s="21"/>
      <c r="O268" s="21"/>
      <c r="P268" s="21"/>
      <c r="Q268" s="3"/>
      <c r="R268" s="3"/>
    </row>
    <row r="269" spans="1:18">
      <c r="A269" s="3"/>
      <c r="B269" s="4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21"/>
      <c r="N269" s="21"/>
      <c r="O269" s="21"/>
      <c r="P269" s="21"/>
      <c r="Q269" s="3"/>
      <c r="R269" s="3"/>
    </row>
    <row r="270" spans="1:18">
      <c r="A270" s="3"/>
      <c r="B270" s="4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21"/>
      <c r="N270" s="21"/>
      <c r="O270" s="21"/>
      <c r="P270" s="21"/>
      <c r="Q270" s="3"/>
      <c r="R270" s="3"/>
    </row>
    <row r="271" spans="1:18">
      <c r="A271" s="3"/>
      <c r="B271" s="4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21"/>
      <c r="N271" s="21"/>
      <c r="O271" s="21"/>
      <c r="P271" s="21"/>
      <c r="Q271" s="3"/>
      <c r="R271" s="3"/>
    </row>
    <row r="272" spans="1:18">
      <c r="A272" s="3"/>
      <c r="B272" s="4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21"/>
      <c r="N272" s="21"/>
      <c r="O272" s="21"/>
      <c r="P272" s="21"/>
      <c r="Q272" s="3"/>
      <c r="R272" s="3"/>
    </row>
    <row r="273" spans="1:18">
      <c r="A273" s="3"/>
      <c r="B273" s="4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21"/>
      <c r="N273" s="21"/>
      <c r="O273" s="21"/>
      <c r="P273" s="21"/>
      <c r="Q273" s="3"/>
      <c r="R273" s="3"/>
    </row>
    <row r="274" spans="1:18">
      <c r="A274" s="3"/>
      <c r="B274" s="4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21"/>
      <c r="N274" s="21"/>
      <c r="O274" s="21"/>
      <c r="P274" s="21"/>
      <c r="Q274" s="3"/>
      <c r="R274" s="3"/>
    </row>
    <row r="275" spans="1:18">
      <c r="A275" s="3"/>
      <c r="B275" s="4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21"/>
      <c r="N275" s="21"/>
      <c r="O275" s="21"/>
      <c r="P275" s="21"/>
      <c r="Q275" s="3"/>
      <c r="R275" s="3"/>
    </row>
    <row r="276" spans="1:18">
      <c r="A276" s="3"/>
      <c r="B276" s="4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21"/>
      <c r="N276" s="21"/>
      <c r="O276" s="21"/>
      <c r="P276" s="21"/>
      <c r="Q276" s="3"/>
      <c r="R276" s="3"/>
    </row>
    <row r="277" spans="1:18">
      <c r="A277" s="3"/>
      <c r="B277" s="4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21"/>
      <c r="N277" s="21"/>
      <c r="O277" s="21"/>
      <c r="P277" s="21"/>
      <c r="Q277" s="3"/>
      <c r="R277" s="3"/>
    </row>
    <row r="278" spans="1:18">
      <c r="A278" s="3"/>
      <c r="B278" s="4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21"/>
      <c r="N278" s="21"/>
      <c r="O278" s="21"/>
      <c r="P278" s="21"/>
      <c r="Q278" s="3"/>
      <c r="R278" s="3"/>
    </row>
    <row r="279" spans="1:18">
      <c r="A279" s="3"/>
      <c r="B279" s="4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21"/>
      <c r="N279" s="21"/>
      <c r="O279" s="21"/>
      <c r="P279" s="21"/>
      <c r="Q279" s="3"/>
      <c r="R279" s="3"/>
    </row>
    <row r="280" spans="1:18">
      <c r="A280" s="3"/>
      <c r="B280" s="4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21"/>
      <c r="N280" s="21"/>
      <c r="O280" s="21"/>
      <c r="P280" s="21"/>
      <c r="Q280" s="3"/>
      <c r="R280" s="3"/>
    </row>
    <row r="281" spans="1:18">
      <c r="A281" s="3"/>
      <c r="B281" s="4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21"/>
      <c r="N281" s="21"/>
      <c r="O281" s="21"/>
      <c r="P281" s="21"/>
      <c r="Q281" s="3"/>
      <c r="R281" s="3"/>
    </row>
    <row r="282" spans="1:18">
      <c r="A282" s="3"/>
      <c r="B282" s="4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21"/>
      <c r="N282" s="21"/>
      <c r="O282" s="21"/>
      <c r="P282" s="21"/>
      <c r="Q282" s="3"/>
      <c r="R282" s="3"/>
    </row>
    <row r="283" spans="1:18">
      <c r="A283" s="3"/>
      <c r="B283" s="4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21"/>
      <c r="N283" s="21"/>
      <c r="O283" s="21"/>
      <c r="P283" s="21"/>
      <c r="Q283" s="3"/>
      <c r="R283" s="3"/>
    </row>
    <row r="284" spans="1:18">
      <c r="A284" s="3"/>
      <c r="B284" s="4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21"/>
      <c r="N284" s="21"/>
      <c r="O284" s="21"/>
      <c r="P284" s="21"/>
      <c r="Q284" s="3"/>
      <c r="R284" s="3"/>
    </row>
    <row r="285" spans="1:18">
      <c r="A285" s="3"/>
      <c r="B285" s="4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21"/>
      <c r="N285" s="21"/>
      <c r="O285" s="21"/>
      <c r="P285" s="21"/>
      <c r="Q285" s="3"/>
      <c r="R285" s="3"/>
    </row>
    <row r="286" spans="1:18">
      <c r="A286" s="3"/>
      <c r="B286" s="4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21"/>
      <c r="N286" s="21"/>
      <c r="O286" s="21"/>
      <c r="P286" s="21"/>
      <c r="Q286" s="3"/>
      <c r="R286" s="3"/>
    </row>
    <row r="287" spans="1:18">
      <c r="A287" s="3"/>
      <c r="B287" s="4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21"/>
      <c r="N287" s="21"/>
      <c r="O287" s="21"/>
      <c r="P287" s="21"/>
      <c r="Q287" s="3"/>
      <c r="R287" s="3"/>
    </row>
    <row r="288" spans="1:18">
      <c r="A288" s="3"/>
      <c r="B288" s="4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21"/>
      <c r="N288" s="21"/>
      <c r="O288" s="21"/>
      <c r="P288" s="21"/>
      <c r="Q288" s="3"/>
      <c r="R288" s="3"/>
    </row>
    <row r="289" spans="1:18">
      <c r="A289" s="3"/>
      <c r="B289" s="4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21"/>
      <c r="N289" s="21"/>
      <c r="O289" s="21"/>
      <c r="P289" s="21"/>
      <c r="Q289" s="3"/>
      <c r="R289" s="3"/>
    </row>
    <row r="290" spans="1:18">
      <c r="A290" s="3"/>
      <c r="B290" s="4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21"/>
      <c r="N290" s="21"/>
      <c r="O290" s="21"/>
      <c r="P290" s="21"/>
      <c r="Q290" s="3"/>
      <c r="R290" s="3"/>
    </row>
    <row r="291" spans="1:18">
      <c r="A291" s="3"/>
      <c r="B291" s="4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21"/>
      <c r="N291" s="21"/>
      <c r="O291" s="21"/>
      <c r="P291" s="21"/>
      <c r="Q291" s="3"/>
      <c r="R291" s="3"/>
    </row>
    <row r="292" spans="1:18">
      <c r="A292" s="3"/>
      <c r="B292" s="4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21"/>
      <c r="N292" s="21"/>
      <c r="O292" s="21"/>
      <c r="P292" s="21"/>
      <c r="Q292" s="3"/>
      <c r="R292" s="3"/>
    </row>
    <row r="293" spans="1:18">
      <c r="A293" s="3"/>
      <c r="B293" s="4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21"/>
      <c r="N293" s="21"/>
      <c r="O293" s="21"/>
      <c r="P293" s="21"/>
      <c r="Q293" s="3"/>
      <c r="R293" s="3"/>
    </row>
    <row r="294" spans="1:18">
      <c r="A294" s="3"/>
      <c r="B294" s="4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21"/>
      <c r="N294" s="21"/>
      <c r="O294" s="21"/>
      <c r="P294" s="21"/>
      <c r="Q294" s="3"/>
      <c r="R294" s="3"/>
    </row>
    <row r="295" spans="1:18">
      <c r="A295" s="3"/>
      <c r="B295" s="4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21"/>
      <c r="N295" s="21"/>
      <c r="O295" s="21"/>
      <c r="P295" s="21"/>
      <c r="Q295" s="3"/>
      <c r="R295" s="3"/>
    </row>
    <row r="296" spans="1:18">
      <c r="A296" s="3"/>
      <c r="B296" s="4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21"/>
      <c r="N296" s="21"/>
      <c r="O296" s="21"/>
      <c r="P296" s="21"/>
      <c r="Q296" s="3"/>
      <c r="R296" s="3"/>
    </row>
    <row r="297" spans="1:18">
      <c r="A297" s="3"/>
      <c r="B297" s="4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21"/>
      <c r="N297" s="21"/>
      <c r="O297" s="21"/>
      <c r="P297" s="21"/>
      <c r="Q297" s="3"/>
      <c r="R297" s="3"/>
    </row>
    <row r="298" spans="1:18">
      <c r="A298" s="3"/>
      <c r="B298" s="4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21"/>
      <c r="N298" s="21"/>
      <c r="O298" s="21"/>
      <c r="P298" s="21"/>
      <c r="Q298" s="3"/>
      <c r="R298" s="3"/>
    </row>
    <row r="299" spans="1:18">
      <c r="A299" s="3"/>
      <c r="B299" s="4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21"/>
      <c r="N299" s="21"/>
      <c r="O299" s="21"/>
      <c r="P299" s="21"/>
      <c r="Q299" s="3"/>
      <c r="R299" s="3"/>
    </row>
    <row r="300" spans="1:18">
      <c r="A300" s="3"/>
      <c r="B300" s="4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21"/>
      <c r="N300" s="21"/>
      <c r="O300" s="21"/>
      <c r="P300" s="21"/>
      <c r="Q300" s="3"/>
      <c r="R300" s="3"/>
    </row>
    <row r="301" spans="1:18">
      <c r="A301" s="3"/>
      <c r="B301" s="4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21"/>
      <c r="N301" s="21"/>
      <c r="O301" s="21"/>
      <c r="P301" s="21"/>
      <c r="Q301" s="3"/>
      <c r="R301" s="3"/>
    </row>
    <row r="302" spans="1:18">
      <c r="A302" s="3"/>
      <c r="B302" s="4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21"/>
      <c r="N302" s="21"/>
      <c r="O302" s="21"/>
      <c r="P302" s="21"/>
      <c r="Q302" s="3"/>
      <c r="R302" s="3"/>
    </row>
    <row r="303" spans="1:18">
      <c r="A303" s="3"/>
      <c r="B303" s="4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21"/>
      <c r="N303" s="21"/>
      <c r="O303" s="21"/>
      <c r="P303" s="21"/>
      <c r="Q303" s="3"/>
      <c r="R303" s="3"/>
    </row>
    <row r="304" spans="1:18">
      <c r="A304" s="3"/>
      <c r="B304" s="4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21"/>
      <c r="N304" s="21"/>
      <c r="O304" s="21"/>
      <c r="P304" s="21"/>
      <c r="Q304" s="3"/>
      <c r="R304" s="3"/>
    </row>
    <row r="305" spans="1:18">
      <c r="A305" s="3"/>
      <c r="B305" s="4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21"/>
      <c r="N305" s="21"/>
      <c r="O305" s="21"/>
      <c r="P305" s="21"/>
      <c r="Q305" s="3"/>
      <c r="R305" s="3"/>
    </row>
    <row r="306" spans="1:18">
      <c r="A306" s="3"/>
      <c r="B306" s="4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21"/>
      <c r="N306" s="21"/>
      <c r="O306" s="21"/>
      <c r="P306" s="21"/>
      <c r="Q306" s="3"/>
      <c r="R306" s="3"/>
    </row>
    <row r="307" spans="1:18">
      <c r="A307" s="3"/>
      <c r="B307" s="4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21"/>
      <c r="N307" s="21"/>
      <c r="O307" s="21"/>
      <c r="P307" s="21"/>
      <c r="Q307" s="3"/>
      <c r="R307" s="3"/>
    </row>
    <row r="308" spans="1:18">
      <c r="A308" s="3"/>
      <c r="B308" s="4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21"/>
      <c r="N308" s="21"/>
      <c r="O308" s="21"/>
      <c r="P308" s="21"/>
      <c r="Q308" s="3"/>
      <c r="R308" s="3"/>
    </row>
    <row r="309" spans="1:18">
      <c r="A309" s="3"/>
      <c r="B309" s="4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21"/>
      <c r="N309" s="21"/>
      <c r="O309" s="21"/>
      <c r="P309" s="21"/>
      <c r="Q309" s="3"/>
      <c r="R309" s="3"/>
    </row>
    <row r="310" spans="1:18">
      <c r="A310" s="3"/>
      <c r="B310" s="4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21"/>
      <c r="N310" s="21"/>
      <c r="O310" s="21"/>
      <c r="P310" s="21"/>
      <c r="Q310" s="3"/>
      <c r="R310" s="3"/>
    </row>
    <row r="311" spans="1:18">
      <c r="A311" s="3"/>
      <c r="B311" s="4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21"/>
      <c r="N311" s="21"/>
      <c r="O311" s="21"/>
      <c r="P311" s="21"/>
      <c r="Q311" s="3"/>
      <c r="R311" s="3"/>
    </row>
    <row r="312" spans="1:18">
      <c r="A312" s="3"/>
      <c r="B312" s="4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21"/>
      <c r="N312" s="21"/>
      <c r="O312" s="21"/>
      <c r="P312" s="21"/>
      <c r="Q312" s="3"/>
      <c r="R312" s="3"/>
    </row>
    <row r="313" spans="1:18">
      <c r="A313" s="3"/>
      <c r="B313" s="4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21"/>
      <c r="N313" s="21"/>
      <c r="O313" s="21"/>
      <c r="P313" s="21"/>
      <c r="Q313" s="3"/>
      <c r="R313" s="3"/>
    </row>
    <row r="314" spans="1:18">
      <c r="A314" s="3"/>
      <c r="B314" s="4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21"/>
      <c r="N314" s="21"/>
      <c r="O314" s="21"/>
      <c r="P314" s="21"/>
      <c r="Q314" s="3"/>
      <c r="R314" s="3"/>
    </row>
    <row r="315" spans="1:18">
      <c r="A315" s="3"/>
      <c r="B315" s="4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21"/>
      <c r="N315" s="21"/>
      <c r="O315" s="21"/>
      <c r="P315" s="21"/>
      <c r="Q315" s="3"/>
      <c r="R315" s="3"/>
    </row>
    <row r="316" spans="1:18">
      <c r="A316" s="3"/>
      <c r="B316" s="4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21"/>
      <c r="N316" s="21"/>
      <c r="O316" s="21"/>
      <c r="P316" s="21"/>
      <c r="Q316" s="3"/>
      <c r="R316" s="3"/>
    </row>
    <row r="317" spans="1:18">
      <c r="A317" s="3"/>
      <c r="B317" s="4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21"/>
      <c r="N317" s="21"/>
      <c r="O317" s="21"/>
      <c r="P317" s="21"/>
      <c r="Q317" s="3"/>
      <c r="R317" s="3"/>
    </row>
    <row r="318" spans="1:18">
      <c r="A318" s="3"/>
      <c r="B318" s="4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21"/>
      <c r="N318" s="21"/>
      <c r="O318" s="21"/>
      <c r="P318" s="21"/>
      <c r="Q318" s="3"/>
      <c r="R318" s="3"/>
    </row>
    <row r="319" spans="1:18">
      <c r="A319" s="3"/>
      <c r="B319" s="4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21"/>
      <c r="N319" s="21"/>
      <c r="O319" s="21"/>
      <c r="P319" s="21"/>
      <c r="Q319" s="3"/>
      <c r="R319" s="3"/>
    </row>
    <row r="320" spans="1:18">
      <c r="A320" s="3"/>
      <c r="B320" s="4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21"/>
      <c r="N320" s="21"/>
      <c r="O320" s="21"/>
      <c r="P320" s="21"/>
      <c r="Q320" s="3"/>
      <c r="R320" s="3"/>
    </row>
    <row r="321" spans="1:18">
      <c r="A321" s="3"/>
      <c r="B321" s="4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21"/>
      <c r="N321" s="21"/>
      <c r="O321" s="21"/>
      <c r="P321" s="21"/>
      <c r="Q321" s="3"/>
      <c r="R321" s="3"/>
    </row>
    <row r="322" spans="1:18">
      <c r="A322" s="3"/>
      <c r="B322" s="4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21"/>
      <c r="N322" s="21"/>
      <c r="O322" s="21"/>
      <c r="P322" s="21"/>
      <c r="Q322" s="3"/>
      <c r="R322" s="3"/>
    </row>
    <row r="323" spans="1:18">
      <c r="A323" s="3"/>
      <c r="B323" s="4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21"/>
      <c r="N323" s="21"/>
      <c r="O323" s="21"/>
      <c r="P323" s="21"/>
      <c r="Q323" s="3"/>
      <c r="R323" s="3"/>
    </row>
    <row r="324" spans="1:18">
      <c r="A324" s="3"/>
      <c r="B324" s="4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21"/>
      <c r="N324" s="21"/>
      <c r="O324" s="21"/>
      <c r="P324" s="21"/>
      <c r="Q324" s="3"/>
      <c r="R324" s="3"/>
    </row>
    <row r="325" spans="1:18">
      <c r="A325" s="3"/>
      <c r="B325" s="4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21"/>
      <c r="N325" s="21"/>
      <c r="O325" s="21"/>
      <c r="P325" s="21"/>
      <c r="Q325" s="3"/>
      <c r="R325" s="3"/>
    </row>
    <row r="326" spans="1:18">
      <c r="A326" s="3"/>
      <c r="B326" s="4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21"/>
      <c r="N326" s="21"/>
      <c r="O326" s="21"/>
      <c r="P326" s="21"/>
      <c r="Q326" s="3"/>
      <c r="R326" s="3"/>
    </row>
    <row r="327" spans="1:18">
      <c r="A327" s="3"/>
      <c r="B327" s="4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21"/>
      <c r="N327" s="21"/>
      <c r="O327" s="21"/>
      <c r="P327" s="21"/>
      <c r="Q327" s="3"/>
      <c r="R327" s="3"/>
    </row>
    <row r="328" spans="1:18">
      <c r="A328" s="3"/>
      <c r="B328" s="4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21"/>
      <c r="N328" s="21"/>
      <c r="O328" s="21"/>
      <c r="P328" s="21"/>
      <c r="Q328" s="3"/>
      <c r="R328" s="3"/>
    </row>
    <row r="329" spans="1:18">
      <c r="A329" s="3"/>
      <c r="B329" s="4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21"/>
      <c r="N329" s="21"/>
      <c r="O329" s="21"/>
      <c r="P329" s="21"/>
      <c r="Q329" s="3"/>
      <c r="R329" s="3"/>
    </row>
    <row r="330" spans="1:18">
      <c r="A330" s="3"/>
      <c r="B330" s="4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21"/>
      <c r="N330" s="21"/>
      <c r="O330" s="21"/>
      <c r="P330" s="21"/>
      <c r="Q330" s="3"/>
      <c r="R330" s="3"/>
    </row>
    <row r="331" spans="1:18">
      <c r="A331" s="3"/>
      <c r="B331" s="4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21"/>
      <c r="N331" s="21"/>
      <c r="O331" s="21"/>
      <c r="P331" s="21"/>
      <c r="Q331" s="3"/>
      <c r="R331" s="3"/>
    </row>
    <row r="332" spans="1:18">
      <c r="A332" s="3"/>
      <c r="B332" s="4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21"/>
      <c r="N332" s="21"/>
      <c r="O332" s="21"/>
      <c r="P332" s="21"/>
      <c r="Q332" s="3"/>
      <c r="R332" s="3"/>
    </row>
    <row r="333" spans="1:18">
      <c r="A333" s="3"/>
      <c r="B333" s="4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21"/>
      <c r="N333" s="21"/>
      <c r="O333" s="21"/>
      <c r="P333" s="21"/>
      <c r="Q333" s="3"/>
      <c r="R333" s="3"/>
    </row>
    <row r="334" spans="1:18">
      <c r="A334" s="3"/>
      <c r="B334" s="4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21"/>
      <c r="N334" s="21"/>
      <c r="O334" s="21"/>
      <c r="P334" s="21"/>
      <c r="Q334" s="3"/>
      <c r="R334" s="3"/>
    </row>
    <row r="335" spans="1:18">
      <c r="A335" s="3"/>
      <c r="B335" s="4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21"/>
      <c r="N335" s="21"/>
      <c r="O335" s="21"/>
      <c r="P335" s="21"/>
      <c r="Q335" s="3"/>
      <c r="R335" s="3"/>
    </row>
    <row r="336" spans="1:18">
      <c r="A336" s="3"/>
      <c r="B336" s="4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21"/>
      <c r="N336" s="21"/>
      <c r="O336" s="21"/>
      <c r="P336" s="21"/>
      <c r="Q336" s="3"/>
      <c r="R336" s="3"/>
    </row>
    <row r="337" spans="1:18">
      <c r="A337" s="3"/>
      <c r="B337" s="4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21"/>
      <c r="N337" s="21"/>
      <c r="O337" s="21"/>
      <c r="P337" s="21"/>
      <c r="Q337" s="3"/>
      <c r="R337" s="3"/>
    </row>
    <row r="338" spans="1:18">
      <c r="A338" s="3"/>
      <c r="B338" s="4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21"/>
      <c r="N338" s="21"/>
      <c r="O338" s="21"/>
      <c r="P338" s="21"/>
      <c r="Q338" s="3"/>
      <c r="R338" s="3"/>
    </row>
    <row r="339" spans="1:18">
      <c r="A339" s="3"/>
      <c r="B339" s="4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21"/>
      <c r="N339" s="21"/>
      <c r="O339" s="21"/>
      <c r="P339" s="21"/>
      <c r="Q339" s="3"/>
      <c r="R339" s="3"/>
    </row>
    <row r="340" spans="1:18">
      <c r="A340" s="3"/>
      <c r="B340" s="4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21"/>
      <c r="N340" s="21"/>
      <c r="O340" s="21"/>
      <c r="P340" s="21"/>
      <c r="Q340" s="3"/>
      <c r="R340" s="3"/>
    </row>
    <row r="341" spans="1:18">
      <c r="A341" s="3"/>
      <c r="B341" s="4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21"/>
      <c r="N341" s="21"/>
      <c r="O341" s="21"/>
      <c r="P341" s="21"/>
      <c r="Q341" s="3"/>
      <c r="R341" s="3"/>
    </row>
    <row r="342" spans="1:18">
      <c r="A342" s="3"/>
      <c r="B342" s="4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21"/>
      <c r="N342" s="21"/>
      <c r="O342" s="21"/>
      <c r="P342" s="21"/>
      <c r="Q342" s="3"/>
      <c r="R342" s="3"/>
    </row>
    <row r="343" spans="1:18">
      <c r="A343" s="3"/>
      <c r="B343" s="4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21"/>
      <c r="N343" s="21"/>
      <c r="O343" s="21"/>
      <c r="P343" s="21"/>
      <c r="Q343" s="3"/>
      <c r="R343" s="3"/>
    </row>
    <row r="344" spans="1:18">
      <c r="A344" s="3"/>
      <c r="B344" s="4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21"/>
      <c r="N344" s="21"/>
      <c r="O344" s="21"/>
      <c r="P344" s="21"/>
      <c r="Q344" s="3"/>
      <c r="R344" s="3"/>
    </row>
    <row r="345" spans="1:18">
      <c r="A345" s="3"/>
      <c r="B345" s="4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21"/>
      <c r="N345" s="21"/>
      <c r="O345" s="21"/>
      <c r="P345" s="21"/>
      <c r="Q345" s="3"/>
      <c r="R345" s="3"/>
    </row>
    <row r="346" spans="1:18">
      <c r="A346" s="3"/>
      <c r="B346" s="4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21"/>
      <c r="N346" s="21"/>
      <c r="O346" s="21"/>
      <c r="P346" s="21"/>
      <c r="Q346" s="3"/>
      <c r="R346" s="3"/>
    </row>
    <row r="347" spans="1:18">
      <c r="A347" s="3"/>
      <c r="B347" s="4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21"/>
      <c r="N347" s="21"/>
      <c r="O347" s="21"/>
      <c r="P347" s="21"/>
      <c r="Q347" s="3"/>
      <c r="R347" s="3"/>
    </row>
    <row r="348" spans="1:18">
      <c r="A348" s="3"/>
      <c r="B348" s="4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21"/>
      <c r="N348" s="21"/>
      <c r="O348" s="21"/>
      <c r="P348" s="21"/>
      <c r="Q348" s="3"/>
      <c r="R348" s="3"/>
    </row>
    <row r="349" spans="1:18">
      <c r="A349" s="3"/>
      <c r="B349" s="4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21"/>
      <c r="N349" s="21"/>
      <c r="O349" s="21"/>
      <c r="P349" s="21"/>
      <c r="Q349" s="3"/>
      <c r="R349" s="3"/>
    </row>
    <row r="350" spans="1:18">
      <c r="A350" s="3"/>
      <c r="B350" s="4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21"/>
      <c r="N350" s="21"/>
      <c r="O350" s="21"/>
      <c r="P350" s="21"/>
      <c r="Q350" s="3"/>
      <c r="R350" s="3"/>
    </row>
    <row r="351" spans="1:18">
      <c r="A351" s="3"/>
      <c r="B351" s="4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21"/>
      <c r="N351" s="21"/>
      <c r="O351" s="21"/>
      <c r="P351" s="21"/>
      <c r="Q351" s="3"/>
      <c r="R351" s="3"/>
    </row>
    <row r="352" spans="1:18">
      <c r="A352" s="3"/>
      <c r="B352" s="4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21"/>
      <c r="N352" s="21"/>
      <c r="O352" s="21"/>
      <c r="P352" s="21"/>
      <c r="Q352" s="3"/>
      <c r="R352" s="3"/>
    </row>
    <row r="353" spans="1:18">
      <c r="A353" s="3"/>
      <c r="B353" s="4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21"/>
      <c r="N353" s="21"/>
      <c r="O353" s="21"/>
      <c r="P353" s="21"/>
      <c r="Q353" s="3"/>
      <c r="R353" s="3"/>
    </row>
    <row r="354" spans="1:18">
      <c r="A354" s="3"/>
      <c r="B354" s="4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21"/>
      <c r="N354" s="21"/>
      <c r="O354" s="21"/>
      <c r="P354" s="21"/>
      <c r="Q354" s="3"/>
      <c r="R354" s="3"/>
    </row>
    <row r="355" spans="1:18">
      <c r="A355" s="3"/>
      <c r="B355" s="4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21"/>
      <c r="N355" s="21"/>
      <c r="O355" s="21"/>
      <c r="P355" s="21"/>
      <c r="Q355" s="3"/>
      <c r="R355" s="3"/>
    </row>
    <row r="356" spans="1:18">
      <c r="A356" s="3"/>
      <c r="B356" s="4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21"/>
      <c r="N356" s="21"/>
      <c r="O356" s="21"/>
      <c r="P356" s="21"/>
      <c r="Q356" s="3"/>
      <c r="R356" s="3"/>
    </row>
    <row r="357" spans="1:18">
      <c r="A357" s="3"/>
      <c r="B357" s="4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21"/>
      <c r="N357" s="21"/>
      <c r="O357" s="21"/>
      <c r="P357" s="21"/>
      <c r="Q357" s="3"/>
      <c r="R357" s="3"/>
    </row>
    <row r="358" spans="1:18">
      <c r="A358" s="3"/>
      <c r="B358" s="4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21"/>
      <c r="N358" s="21"/>
      <c r="O358" s="21"/>
      <c r="P358" s="21"/>
      <c r="Q358" s="3"/>
      <c r="R358" s="3"/>
    </row>
    <row r="359" spans="1:18">
      <c r="A359" s="3"/>
      <c r="B359" s="4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21"/>
      <c r="N359" s="21"/>
      <c r="O359" s="21"/>
      <c r="P359" s="21"/>
      <c r="Q359" s="3"/>
      <c r="R359" s="3"/>
    </row>
    <row r="360" spans="1:18">
      <c r="A360" s="3"/>
      <c r="B360" s="4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21"/>
      <c r="N360" s="21"/>
      <c r="O360" s="21"/>
      <c r="P360" s="21"/>
      <c r="Q360" s="3"/>
      <c r="R360" s="3"/>
    </row>
    <row r="361" spans="1:18">
      <c r="A361" s="3"/>
      <c r="B361" s="4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21"/>
      <c r="N361" s="21"/>
      <c r="O361" s="21"/>
      <c r="P361" s="21"/>
      <c r="Q361" s="3"/>
      <c r="R361" s="3"/>
    </row>
    <row r="362" spans="1:18">
      <c r="A362" s="3"/>
      <c r="B362" s="4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21"/>
      <c r="N362" s="21"/>
      <c r="O362" s="21"/>
      <c r="P362" s="21"/>
      <c r="Q362" s="3"/>
      <c r="R362" s="3"/>
    </row>
    <row r="363" spans="1:18">
      <c r="A363" s="3"/>
      <c r="B363" s="4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21"/>
      <c r="N363" s="21"/>
      <c r="O363" s="21"/>
      <c r="P363" s="21"/>
      <c r="Q363" s="3"/>
      <c r="R363" s="3"/>
    </row>
    <row r="364" spans="1:18">
      <c r="A364" s="3"/>
      <c r="B364" s="4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21"/>
      <c r="N364" s="21"/>
      <c r="O364" s="21"/>
      <c r="P364" s="21"/>
      <c r="Q364" s="3"/>
      <c r="R364" s="3"/>
    </row>
    <row r="365" spans="1:18">
      <c r="A365" s="3"/>
      <c r="B365" s="4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21"/>
      <c r="N365" s="21"/>
      <c r="O365" s="21"/>
      <c r="P365" s="21"/>
      <c r="Q365" s="3"/>
      <c r="R365" s="3"/>
    </row>
    <row r="366" spans="1:18">
      <c r="A366" s="3"/>
      <c r="B366" s="4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21"/>
      <c r="N366" s="21"/>
      <c r="O366" s="21"/>
      <c r="P366" s="21"/>
      <c r="Q366" s="3"/>
      <c r="R366" s="3"/>
    </row>
    <row r="367" spans="1:18">
      <c r="A367" s="3"/>
      <c r="B367" s="4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21"/>
      <c r="N367" s="21"/>
      <c r="O367" s="21"/>
      <c r="P367" s="21"/>
      <c r="Q367" s="3"/>
      <c r="R367" s="3"/>
    </row>
    <row r="368" spans="1:18">
      <c r="A368" s="3"/>
      <c r="B368" s="4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21"/>
      <c r="N368" s="21"/>
      <c r="O368" s="21"/>
      <c r="P368" s="21"/>
      <c r="Q368" s="3"/>
      <c r="R368" s="3"/>
    </row>
    <row r="369" spans="1:18">
      <c r="A369" s="3"/>
      <c r="B369" s="4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21"/>
      <c r="N369" s="21"/>
      <c r="O369" s="21"/>
      <c r="P369" s="21"/>
      <c r="Q369" s="3"/>
      <c r="R369" s="3"/>
    </row>
    <row r="370" spans="1:18">
      <c r="A370" s="3"/>
      <c r="B370" s="4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21"/>
      <c r="N370" s="21"/>
      <c r="O370" s="21"/>
      <c r="P370" s="21"/>
      <c r="Q370" s="3"/>
      <c r="R370" s="3"/>
    </row>
    <row r="371" spans="1:18">
      <c r="A371" s="3"/>
      <c r="B371" s="4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21"/>
      <c r="N371" s="21"/>
      <c r="O371" s="21"/>
      <c r="P371" s="21"/>
      <c r="Q371" s="3"/>
      <c r="R371" s="3"/>
    </row>
    <row r="372" spans="1:18">
      <c r="A372" s="3"/>
      <c r="B372" s="4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21"/>
      <c r="N372" s="21"/>
      <c r="O372" s="21"/>
      <c r="P372" s="21"/>
      <c r="Q372" s="3"/>
      <c r="R372" s="3"/>
    </row>
    <row r="373" spans="1:18">
      <c r="A373" s="3"/>
      <c r="B373" s="4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21"/>
      <c r="N373" s="21"/>
      <c r="O373" s="21"/>
      <c r="P373" s="21"/>
      <c r="Q373" s="3"/>
      <c r="R373" s="3"/>
    </row>
    <row r="374" spans="1:18">
      <c r="A374" s="3"/>
      <c r="B374" s="4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21"/>
      <c r="N374" s="21"/>
      <c r="O374" s="21"/>
      <c r="P374" s="21"/>
      <c r="Q374" s="3"/>
      <c r="R374" s="3"/>
    </row>
    <row r="375" spans="1:18">
      <c r="A375" s="3"/>
      <c r="B375" s="4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21"/>
      <c r="N375" s="21"/>
      <c r="O375" s="21"/>
      <c r="P375" s="21"/>
      <c r="Q375" s="3"/>
      <c r="R375" s="3"/>
    </row>
    <row r="376" spans="1:18">
      <c r="A376" s="3"/>
      <c r="B376" s="4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21"/>
      <c r="N376" s="21"/>
      <c r="O376" s="21"/>
      <c r="P376" s="21"/>
      <c r="Q376" s="3"/>
      <c r="R376" s="3"/>
    </row>
    <row r="377" spans="1:18">
      <c r="A377" s="3"/>
      <c r="B377" s="4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21"/>
      <c r="N377" s="21"/>
      <c r="O377" s="21"/>
      <c r="P377" s="21"/>
      <c r="Q377" s="3"/>
      <c r="R377" s="3"/>
    </row>
    <row r="378" spans="1:18">
      <c r="A378" s="3"/>
      <c r="B378" s="4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21"/>
      <c r="N378" s="21"/>
      <c r="O378" s="21"/>
      <c r="P378" s="21"/>
      <c r="Q378" s="3"/>
      <c r="R378" s="3"/>
    </row>
    <row r="379" spans="1:18">
      <c r="A379" s="3"/>
      <c r="B379" s="4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21"/>
      <c r="N379" s="21"/>
      <c r="O379" s="21"/>
      <c r="P379" s="21"/>
      <c r="Q379" s="3"/>
      <c r="R379" s="3"/>
    </row>
    <row r="380" spans="1:18">
      <c r="A380" s="3"/>
      <c r="B380" s="4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21"/>
      <c r="N380" s="21"/>
      <c r="O380" s="21"/>
      <c r="P380" s="21"/>
      <c r="Q380" s="3"/>
      <c r="R380" s="3"/>
    </row>
    <row r="381" spans="1:18">
      <c r="A381" s="3"/>
      <c r="B381" s="4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21"/>
      <c r="N381" s="21"/>
      <c r="O381" s="21"/>
      <c r="P381" s="21"/>
      <c r="Q381" s="3"/>
      <c r="R381" s="3"/>
    </row>
    <row r="382" spans="1:18">
      <c r="A382" s="3"/>
      <c r="B382" s="4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21"/>
      <c r="N382" s="21"/>
      <c r="O382" s="21"/>
      <c r="P382" s="21"/>
      <c r="Q382" s="3"/>
      <c r="R382" s="3"/>
    </row>
    <row r="383" spans="1:18">
      <c r="A383" s="3"/>
      <c r="B383" s="4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21"/>
      <c r="N383" s="21"/>
      <c r="O383" s="21"/>
      <c r="P383" s="21"/>
      <c r="Q383" s="3"/>
      <c r="R383" s="3"/>
    </row>
    <row r="384" spans="1:18">
      <c r="A384" s="3"/>
      <c r="B384" s="4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21"/>
      <c r="N384" s="21"/>
      <c r="O384" s="21"/>
      <c r="P384" s="21"/>
      <c r="Q384" s="3"/>
      <c r="R384" s="3"/>
    </row>
    <row r="385" spans="1:18">
      <c r="A385" s="3"/>
      <c r="B385" s="4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21"/>
      <c r="N385" s="21"/>
      <c r="O385" s="21"/>
      <c r="P385" s="21"/>
      <c r="Q385" s="3"/>
      <c r="R385" s="3"/>
    </row>
    <row r="386" spans="1:18">
      <c r="A386" s="3"/>
      <c r="B386" s="4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21"/>
      <c r="N386" s="21"/>
      <c r="O386" s="21"/>
      <c r="P386" s="21"/>
      <c r="Q386" s="3"/>
      <c r="R386" s="3"/>
    </row>
    <row r="387" spans="1:18">
      <c r="A387" s="3"/>
      <c r="B387" s="4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21"/>
      <c r="N387" s="21"/>
      <c r="O387" s="21"/>
      <c r="P387" s="21"/>
      <c r="Q387" s="3"/>
      <c r="R387" s="3"/>
    </row>
    <row r="388" spans="1:18">
      <c r="A388" s="3"/>
      <c r="B388" s="4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21"/>
      <c r="N388" s="21"/>
      <c r="O388" s="21"/>
      <c r="P388" s="21"/>
      <c r="Q388" s="3"/>
      <c r="R388" s="3"/>
    </row>
    <row r="389" spans="1:18">
      <c r="A389" s="3"/>
      <c r="B389" s="4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21"/>
      <c r="N389" s="21"/>
      <c r="O389" s="21"/>
      <c r="P389" s="21"/>
      <c r="Q389" s="3"/>
      <c r="R389" s="3"/>
    </row>
    <row r="390" spans="1:18">
      <c r="A390" s="3"/>
      <c r="B390" s="4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21"/>
      <c r="N390" s="21"/>
      <c r="O390" s="21"/>
      <c r="P390" s="21"/>
      <c r="Q390" s="3"/>
      <c r="R390" s="3"/>
    </row>
    <row r="391" spans="1:18">
      <c r="A391" s="3"/>
      <c r="B391" s="4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21"/>
      <c r="N391" s="21"/>
      <c r="O391" s="21"/>
      <c r="P391" s="21"/>
      <c r="Q391" s="3"/>
      <c r="R391" s="3"/>
    </row>
    <row r="392" spans="1:18">
      <c r="A392" s="3"/>
      <c r="B392" s="4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21"/>
      <c r="N392" s="21"/>
      <c r="O392" s="21"/>
      <c r="P392" s="21"/>
      <c r="Q392" s="3"/>
      <c r="R392" s="3"/>
    </row>
    <row r="393" spans="1:18">
      <c r="A393" s="3"/>
      <c r="B393" s="4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21"/>
      <c r="N393" s="21"/>
      <c r="O393" s="21"/>
      <c r="P393" s="21"/>
      <c r="Q393" s="3"/>
      <c r="R393" s="3"/>
    </row>
    <row r="394" spans="1:18">
      <c r="A394" s="3"/>
      <c r="B394" s="4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21"/>
      <c r="N394" s="21"/>
      <c r="O394" s="21"/>
      <c r="P394" s="21"/>
      <c r="Q394" s="3"/>
      <c r="R394" s="3"/>
    </row>
    <row r="395" spans="1:18">
      <c r="A395" s="3"/>
      <c r="B395" s="4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21"/>
      <c r="N395" s="21"/>
      <c r="O395" s="21"/>
      <c r="P395" s="21"/>
      <c r="Q395" s="3"/>
      <c r="R395" s="3"/>
    </row>
    <row r="396" spans="1:18">
      <c r="A396" s="3"/>
      <c r="B396" s="4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21"/>
      <c r="N396" s="21"/>
      <c r="O396" s="21"/>
      <c r="P396" s="21"/>
      <c r="Q396" s="3"/>
      <c r="R396" s="3"/>
    </row>
    <row r="397" spans="1:18">
      <c r="A397" s="3"/>
      <c r="B397" s="4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21"/>
      <c r="N397" s="21"/>
      <c r="O397" s="21"/>
      <c r="P397" s="21"/>
      <c r="Q397" s="3"/>
      <c r="R397" s="3"/>
    </row>
    <row r="398" spans="1:18">
      <c r="A398" s="3"/>
      <c r="B398" s="4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21"/>
      <c r="N398" s="21"/>
      <c r="O398" s="21"/>
      <c r="P398" s="21"/>
      <c r="Q398" s="3"/>
      <c r="R398" s="3"/>
    </row>
    <row r="399" spans="1:18">
      <c r="A399" s="3"/>
      <c r="B399" s="4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21"/>
      <c r="N399" s="21"/>
      <c r="O399" s="21"/>
      <c r="P399" s="21"/>
      <c r="Q399" s="3"/>
      <c r="R399" s="3"/>
    </row>
    <row r="400" spans="1:18">
      <c r="A400" s="3"/>
      <c r="B400" s="4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21"/>
      <c r="N400" s="21"/>
      <c r="O400" s="21"/>
      <c r="P400" s="21"/>
      <c r="Q400" s="3"/>
      <c r="R400" s="3"/>
    </row>
    <row r="401" spans="1:18">
      <c r="A401" s="3"/>
      <c r="B401" s="4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21"/>
      <c r="N401" s="21"/>
      <c r="O401" s="21"/>
      <c r="P401" s="21"/>
      <c r="Q401" s="3"/>
      <c r="R401" s="3"/>
    </row>
    <row r="402" spans="1:18">
      <c r="A402" s="3"/>
      <c r="B402" s="4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21"/>
      <c r="N402" s="21"/>
      <c r="O402" s="21"/>
      <c r="P402" s="21"/>
      <c r="Q402" s="3"/>
      <c r="R402" s="3"/>
    </row>
    <row r="403" spans="1:18">
      <c r="A403" s="3"/>
      <c r="B403" s="4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21"/>
      <c r="N403" s="21"/>
      <c r="O403" s="21"/>
      <c r="P403" s="21"/>
      <c r="Q403" s="3"/>
      <c r="R403" s="3"/>
    </row>
    <row r="404" spans="1:18">
      <c r="A404" s="3"/>
      <c r="B404" s="4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21"/>
      <c r="N404" s="21"/>
      <c r="O404" s="21"/>
      <c r="P404" s="21"/>
      <c r="Q404" s="3"/>
      <c r="R404" s="3"/>
    </row>
    <row r="405" spans="1:18">
      <c r="A405" s="3"/>
      <c r="B405" s="4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21"/>
      <c r="N405" s="21"/>
      <c r="O405" s="21"/>
      <c r="P405" s="21"/>
      <c r="Q405" s="3"/>
      <c r="R405" s="3"/>
    </row>
    <row r="406" spans="1:18">
      <c r="A406" s="3"/>
      <c r="B406" s="4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21"/>
      <c r="N406" s="21"/>
      <c r="O406" s="21"/>
      <c r="P406" s="21"/>
      <c r="Q406" s="3"/>
      <c r="R406" s="3"/>
    </row>
    <row r="407" spans="1:18">
      <c r="A407" s="3"/>
      <c r="B407" s="4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21"/>
      <c r="N407" s="21"/>
      <c r="O407" s="21"/>
      <c r="P407" s="21"/>
      <c r="Q407" s="3"/>
      <c r="R407" s="3"/>
    </row>
    <row r="408" spans="1:18">
      <c r="A408" s="3"/>
      <c r="B408" s="4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21"/>
      <c r="N408" s="21"/>
      <c r="O408" s="21"/>
      <c r="P408" s="21"/>
      <c r="Q408" s="3"/>
      <c r="R408" s="3"/>
    </row>
    <row r="409" spans="1:18">
      <c r="A409" s="3"/>
      <c r="B409" s="4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21"/>
      <c r="N409" s="21"/>
      <c r="O409" s="21"/>
      <c r="P409" s="21"/>
      <c r="Q409" s="3"/>
      <c r="R409" s="3"/>
    </row>
    <row r="410" spans="1:18">
      <c r="A410" s="3"/>
      <c r="B410" s="4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21"/>
      <c r="N410" s="21"/>
      <c r="O410" s="21"/>
      <c r="P410" s="21"/>
      <c r="Q410" s="3"/>
      <c r="R410" s="3"/>
    </row>
    <row r="411" spans="1:18">
      <c r="A411" s="3"/>
      <c r="B411" s="4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21"/>
      <c r="N411" s="21"/>
      <c r="O411" s="21"/>
      <c r="P411" s="21"/>
      <c r="Q411" s="3"/>
      <c r="R411" s="3"/>
    </row>
    <row r="412" spans="1:18">
      <c r="A412" s="3"/>
      <c r="B412" s="4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21"/>
      <c r="N412" s="21"/>
      <c r="O412" s="21"/>
      <c r="P412" s="21"/>
      <c r="Q412" s="3"/>
      <c r="R412" s="3"/>
    </row>
    <row r="413" spans="1:18">
      <c r="A413" s="3"/>
      <c r="B413" s="4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21"/>
      <c r="N413" s="21"/>
      <c r="O413" s="21"/>
      <c r="P413" s="21"/>
      <c r="Q413" s="3"/>
      <c r="R413" s="3"/>
    </row>
    <row r="414" spans="1:18">
      <c r="A414" s="3"/>
      <c r="B414" s="4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21"/>
      <c r="N414" s="21"/>
      <c r="O414" s="21"/>
      <c r="P414" s="21"/>
      <c r="Q414" s="3"/>
      <c r="R414" s="3"/>
    </row>
    <row r="415" spans="1:18">
      <c r="A415" s="3"/>
      <c r="B415" s="4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21"/>
      <c r="N415" s="21"/>
      <c r="O415" s="21"/>
      <c r="P415" s="21"/>
      <c r="Q415" s="3"/>
      <c r="R415" s="3"/>
    </row>
    <row r="416" spans="1:18">
      <c r="A416" s="3"/>
      <c r="B416" s="4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21"/>
      <c r="N416" s="21"/>
      <c r="O416" s="21"/>
      <c r="P416" s="21"/>
      <c r="Q416" s="3"/>
      <c r="R416" s="3"/>
    </row>
    <row r="417" spans="1:18">
      <c r="A417" s="3"/>
      <c r="B417" s="4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21"/>
      <c r="N417" s="21"/>
      <c r="O417" s="21"/>
      <c r="P417" s="21"/>
      <c r="Q417" s="3"/>
      <c r="R417" s="3"/>
    </row>
    <row r="418" spans="1:18">
      <c r="A418" s="3"/>
      <c r="B418" s="4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21"/>
      <c r="N418" s="21"/>
      <c r="O418" s="21"/>
      <c r="P418" s="21"/>
      <c r="Q418" s="3"/>
      <c r="R418" s="3"/>
    </row>
    <row r="419" spans="1:18">
      <c r="A419" s="3"/>
      <c r="B419" s="4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21"/>
      <c r="N419" s="21"/>
      <c r="O419" s="21"/>
      <c r="P419" s="21"/>
      <c r="Q419" s="3"/>
      <c r="R419" s="3"/>
    </row>
    <row r="420" spans="1:18">
      <c r="A420" s="3"/>
      <c r="B420" s="4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21"/>
      <c r="N420" s="21"/>
      <c r="O420" s="21"/>
      <c r="P420" s="21"/>
      <c r="Q420" s="3"/>
      <c r="R420" s="3"/>
    </row>
    <row r="421" spans="1:18">
      <c r="A421" s="3"/>
      <c r="B421" s="4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21"/>
      <c r="N421" s="21"/>
      <c r="O421" s="21"/>
      <c r="P421" s="21"/>
      <c r="Q421" s="3"/>
      <c r="R421" s="3"/>
    </row>
    <row r="422" spans="1:18">
      <c r="A422" s="3"/>
      <c r="B422" s="4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21"/>
      <c r="N422" s="21"/>
      <c r="O422" s="21"/>
      <c r="P422" s="21"/>
      <c r="Q422" s="3"/>
      <c r="R422" s="3"/>
    </row>
    <row r="423" spans="1:18">
      <c r="A423" s="3"/>
      <c r="B423" s="4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21"/>
      <c r="N423" s="21"/>
      <c r="O423" s="21"/>
      <c r="P423" s="21"/>
      <c r="Q423" s="3"/>
      <c r="R423" s="3"/>
    </row>
    <row r="424" spans="1:18">
      <c r="A424" s="3"/>
      <c r="B424" s="4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21"/>
      <c r="N424" s="21"/>
      <c r="O424" s="21"/>
      <c r="P424" s="21"/>
      <c r="Q424" s="3"/>
      <c r="R424" s="3"/>
    </row>
    <row r="425" spans="1:18">
      <c r="A425" s="3"/>
      <c r="B425" s="4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21"/>
      <c r="N425" s="21"/>
      <c r="O425" s="21"/>
      <c r="P425" s="21"/>
      <c r="Q425" s="3"/>
      <c r="R425" s="3"/>
    </row>
    <row r="426" spans="1:18">
      <c r="A426" s="3"/>
      <c r="B426" s="4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21"/>
      <c r="N426" s="21"/>
      <c r="O426" s="21"/>
      <c r="P426" s="21"/>
      <c r="Q426" s="3"/>
      <c r="R426" s="3"/>
    </row>
    <row r="427" spans="1:18">
      <c r="A427" s="3"/>
      <c r="B427" s="4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21"/>
      <c r="N427" s="21"/>
      <c r="O427" s="21"/>
      <c r="P427" s="21"/>
      <c r="Q427" s="3"/>
      <c r="R427" s="3"/>
    </row>
    <row r="428" spans="1:18">
      <c r="A428" s="3"/>
      <c r="B428" s="4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21"/>
      <c r="N428" s="21"/>
      <c r="O428" s="21"/>
      <c r="P428" s="21"/>
      <c r="Q428" s="3"/>
      <c r="R428" s="3"/>
    </row>
    <row r="429" spans="1:18">
      <c r="A429" s="3"/>
      <c r="B429" s="4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21"/>
      <c r="N429" s="21"/>
      <c r="O429" s="21"/>
      <c r="P429" s="21"/>
      <c r="Q429" s="3"/>
      <c r="R429" s="3"/>
    </row>
    <row r="430" spans="1:18">
      <c r="A430" s="3"/>
      <c r="B430" s="4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21"/>
      <c r="N430" s="21"/>
      <c r="O430" s="21"/>
      <c r="P430" s="21"/>
      <c r="Q430" s="3"/>
      <c r="R430" s="3"/>
    </row>
    <row r="431" spans="1:18">
      <c r="A431" s="3"/>
      <c r="B431" s="4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21"/>
      <c r="N431" s="21"/>
      <c r="O431" s="21"/>
      <c r="P431" s="21"/>
      <c r="Q431" s="3"/>
      <c r="R431" s="3"/>
    </row>
    <row r="432" spans="1:18">
      <c r="A432" s="3"/>
      <c r="B432" s="4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21"/>
      <c r="N432" s="21"/>
      <c r="O432" s="21"/>
      <c r="P432" s="21"/>
      <c r="Q432" s="3"/>
      <c r="R432" s="3"/>
    </row>
    <row r="433" spans="1:18">
      <c r="A433" s="3"/>
      <c r="B433" s="4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21"/>
      <c r="N433" s="21"/>
      <c r="O433" s="21"/>
      <c r="P433" s="21"/>
      <c r="Q433" s="3"/>
      <c r="R433" s="3"/>
    </row>
    <row r="434" spans="1:18">
      <c r="A434" s="3"/>
      <c r="B434" s="4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21"/>
      <c r="N434" s="21"/>
      <c r="O434" s="21"/>
      <c r="P434" s="21"/>
      <c r="Q434" s="3"/>
      <c r="R434" s="3"/>
    </row>
    <row r="435" spans="1:18">
      <c r="A435" s="3"/>
      <c r="B435" s="4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21"/>
      <c r="N435" s="21"/>
      <c r="O435" s="21"/>
      <c r="P435" s="21"/>
      <c r="Q435" s="3"/>
      <c r="R435" s="3"/>
    </row>
    <row r="436" spans="1:18">
      <c r="A436" s="3"/>
      <c r="B436" s="4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21"/>
      <c r="N436" s="21"/>
      <c r="O436" s="21"/>
      <c r="P436" s="21"/>
      <c r="Q436" s="3"/>
      <c r="R436" s="3"/>
    </row>
    <row r="437" spans="1:18">
      <c r="A437" s="3"/>
      <c r="B437" s="4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21"/>
      <c r="N437" s="21"/>
      <c r="O437" s="21"/>
      <c r="P437" s="21"/>
      <c r="Q437" s="3"/>
      <c r="R437" s="3"/>
    </row>
    <row r="438" spans="1:18">
      <c r="A438" s="3"/>
      <c r="B438" s="4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21"/>
      <c r="N438" s="21"/>
      <c r="O438" s="21"/>
      <c r="P438" s="21"/>
      <c r="Q438" s="3"/>
      <c r="R438" s="3"/>
    </row>
    <row r="439" spans="1:18">
      <c r="A439" s="3"/>
      <c r="B439" s="4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21"/>
      <c r="N439" s="21"/>
      <c r="O439" s="21"/>
      <c r="P439" s="21"/>
      <c r="Q439" s="3"/>
      <c r="R439" s="3"/>
    </row>
    <row r="440" spans="1:18">
      <c r="A440" s="3"/>
      <c r="B440" s="4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21"/>
      <c r="N440" s="21"/>
      <c r="O440" s="21"/>
      <c r="P440" s="21"/>
      <c r="Q440" s="3"/>
      <c r="R440" s="3"/>
    </row>
    <row r="441" spans="1:18">
      <c r="A441" s="3"/>
      <c r="B441" s="4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21"/>
      <c r="N441" s="21"/>
      <c r="O441" s="21"/>
      <c r="P441" s="21"/>
      <c r="Q441" s="3"/>
      <c r="R441" s="3"/>
    </row>
    <row r="442" spans="1:18">
      <c r="A442" s="3"/>
      <c r="B442" s="4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21"/>
      <c r="N442" s="21"/>
      <c r="O442" s="21"/>
      <c r="P442" s="21"/>
      <c r="Q442" s="3"/>
      <c r="R442" s="3"/>
    </row>
    <row r="443" spans="1:18">
      <c r="A443" s="3"/>
      <c r="B443" s="4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21"/>
      <c r="N443" s="21"/>
      <c r="O443" s="21"/>
      <c r="P443" s="21"/>
      <c r="Q443" s="3"/>
      <c r="R443" s="3"/>
    </row>
    <row r="444" spans="1:18">
      <c r="A444" s="3"/>
      <c r="B444" s="4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21"/>
      <c r="N444" s="21"/>
      <c r="O444" s="21"/>
      <c r="P444" s="21"/>
      <c r="Q444" s="3"/>
      <c r="R444" s="3"/>
    </row>
    <row r="445" spans="1:18">
      <c r="A445" s="3"/>
      <c r="B445" s="4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21"/>
      <c r="N445" s="21"/>
      <c r="O445" s="21"/>
      <c r="P445" s="21"/>
      <c r="Q445" s="3"/>
      <c r="R445" s="3"/>
    </row>
    <row r="446" spans="1:18">
      <c r="A446" s="3"/>
      <c r="B446" s="4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21"/>
      <c r="N446" s="21"/>
      <c r="O446" s="21"/>
      <c r="P446" s="21"/>
      <c r="Q446" s="3"/>
      <c r="R446" s="3"/>
    </row>
    <row r="447" spans="1:18">
      <c r="A447" s="3"/>
      <c r="B447" s="4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21"/>
      <c r="N447" s="21"/>
      <c r="O447" s="21"/>
      <c r="P447" s="21"/>
      <c r="Q447" s="3"/>
      <c r="R447" s="3"/>
    </row>
    <row r="448" spans="1:18">
      <c r="A448" s="3"/>
      <c r="B448" s="4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21"/>
      <c r="N448" s="21"/>
      <c r="O448" s="21"/>
      <c r="P448" s="21"/>
      <c r="Q448" s="3"/>
      <c r="R448" s="3"/>
    </row>
    <row r="449" spans="1:18">
      <c r="A449" s="3"/>
      <c r="B449" s="4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21"/>
      <c r="N449" s="21"/>
      <c r="O449" s="21"/>
      <c r="P449" s="21"/>
      <c r="Q449" s="3"/>
      <c r="R449" s="3"/>
    </row>
    <row r="450" spans="1:18">
      <c r="A450" s="3"/>
      <c r="B450" s="4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21"/>
      <c r="N450" s="21"/>
      <c r="O450" s="21"/>
      <c r="P450" s="21"/>
      <c r="Q450" s="3"/>
      <c r="R450" s="3"/>
    </row>
    <row r="451" spans="1:18">
      <c r="A451" s="3"/>
      <c r="B451" s="4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21"/>
      <c r="N451" s="21"/>
      <c r="O451" s="21"/>
      <c r="P451" s="21"/>
      <c r="Q451" s="3"/>
      <c r="R451" s="3"/>
    </row>
    <row r="452" spans="1:18">
      <c r="A452" s="3"/>
      <c r="B452" s="4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21"/>
      <c r="N452" s="21"/>
      <c r="O452" s="21"/>
      <c r="P452" s="21"/>
      <c r="Q452" s="3"/>
      <c r="R452" s="3"/>
    </row>
    <row r="453" spans="1:18">
      <c r="A453" s="3"/>
      <c r="B453" s="4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21"/>
      <c r="N453" s="21"/>
      <c r="O453" s="21"/>
      <c r="P453" s="21"/>
      <c r="Q453" s="3"/>
      <c r="R453" s="3"/>
    </row>
    <row r="454" spans="1:18">
      <c r="A454" s="3"/>
      <c r="B454" s="4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21"/>
      <c r="N454" s="21"/>
      <c r="O454" s="21"/>
      <c r="P454" s="21"/>
      <c r="Q454" s="3"/>
      <c r="R454" s="3"/>
    </row>
    <row r="455" spans="1:18">
      <c r="A455" s="3"/>
      <c r="B455" s="4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21"/>
      <c r="N455" s="21"/>
      <c r="O455" s="21"/>
      <c r="P455" s="21"/>
      <c r="Q455" s="3"/>
      <c r="R455" s="3"/>
    </row>
    <row r="456" spans="1:18">
      <c r="A456" s="3"/>
      <c r="B456" s="4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21"/>
      <c r="N456" s="21"/>
      <c r="O456" s="21"/>
      <c r="P456" s="21"/>
      <c r="Q456" s="3"/>
      <c r="R456" s="3"/>
    </row>
    <row r="457" spans="1:18">
      <c r="A457" s="3"/>
      <c r="B457" s="4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21"/>
      <c r="N457" s="21"/>
      <c r="O457" s="21"/>
      <c r="P457" s="21"/>
      <c r="Q457" s="3"/>
      <c r="R457" s="3"/>
    </row>
    <row r="458" spans="1:18">
      <c r="A458" s="3"/>
      <c r="B458" s="4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21"/>
      <c r="N458" s="21"/>
      <c r="O458" s="21"/>
      <c r="P458" s="21"/>
      <c r="Q458" s="3"/>
      <c r="R458" s="3"/>
    </row>
    <row r="459" spans="1:18">
      <c r="A459" s="3"/>
      <c r="B459" s="4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21"/>
      <c r="N459" s="21"/>
      <c r="O459" s="21"/>
      <c r="P459" s="21"/>
      <c r="Q459" s="3"/>
      <c r="R459" s="3"/>
    </row>
    <row r="460" spans="1:18">
      <c r="A460" s="3"/>
      <c r="B460" s="4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21"/>
      <c r="N460" s="21"/>
      <c r="O460" s="21"/>
      <c r="P460" s="21"/>
      <c r="Q460" s="3"/>
      <c r="R460" s="3"/>
    </row>
    <row r="461" spans="1:18">
      <c r="A461" s="3"/>
      <c r="B461" s="4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21"/>
      <c r="N461" s="21"/>
      <c r="O461" s="21"/>
      <c r="P461" s="21"/>
      <c r="Q461" s="3"/>
      <c r="R461" s="3"/>
    </row>
    <row r="462" spans="1:18">
      <c r="A462" s="3"/>
      <c r="B462" s="4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21"/>
      <c r="N462" s="21"/>
      <c r="O462" s="21"/>
      <c r="P462" s="21"/>
      <c r="Q462" s="3"/>
      <c r="R462" s="3"/>
    </row>
    <row r="463" spans="1:18">
      <c r="A463" s="3"/>
      <c r="B463" s="4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21"/>
      <c r="N463" s="21"/>
      <c r="O463" s="21"/>
      <c r="P463" s="21"/>
      <c r="Q463" s="3"/>
      <c r="R463" s="3"/>
    </row>
    <row r="464" spans="1:18">
      <c r="A464" s="3"/>
      <c r="B464" s="4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21"/>
      <c r="N464" s="21"/>
      <c r="O464" s="21"/>
      <c r="P464" s="21"/>
      <c r="Q464" s="3"/>
      <c r="R464" s="3"/>
    </row>
    <row r="465" spans="1:18">
      <c r="A465" s="3"/>
      <c r="B465" s="4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21"/>
      <c r="N465" s="21"/>
      <c r="O465" s="21"/>
      <c r="P465" s="21"/>
      <c r="Q465" s="3"/>
      <c r="R465" s="3"/>
    </row>
    <row r="466" spans="1:18">
      <c r="A466" s="3"/>
      <c r="B466" s="4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21"/>
      <c r="N466" s="21"/>
      <c r="O466" s="21"/>
      <c r="P466" s="21"/>
      <c r="Q466" s="3"/>
      <c r="R466" s="3"/>
    </row>
    <row r="467" spans="1:18">
      <c r="A467" s="3"/>
      <c r="B467" s="4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21"/>
      <c r="N467" s="21"/>
      <c r="O467" s="21"/>
      <c r="P467" s="21"/>
      <c r="Q467" s="3"/>
      <c r="R467" s="3"/>
    </row>
    <row r="468" spans="1:18">
      <c r="A468" s="3"/>
      <c r="B468" s="4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21"/>
      <c r="N468" s="21"/>
      <c r="O468" s="21"/>
      <c r="P468" s="21"/>
      <c r="Q468" s="3"/>
      <c r="R468" s="3"/>
    </row>
    <row r="469" spans="1:18">
      <c r="A469" s="3"/>
      <c r="B469" s="4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21"/>
      <c r="N469" s="21"/>
      <c r="O469" s="21"/>
      <c r="P469" s="21"/>
      <c r="Q469" s="3"/>
      <c r="R469" s="3"/>
    </row>
    <row r="470" spans="1:18">
      <c r="A470" s="3"/>
      <c r="B470" s="4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21"/>
      <c r="N470" s="21"/>
      <c r="O470" s="21"/>
      <c r="P470" s="21"/>
      <c r="Q470" s="3"/>
      <c r="R470" s="3"/>
    </row>
    <row r="471" spans="1:18">
      <c r="A471" s="3"/>
      <c r="B471" s="4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21"/>
      <c r="N471" s="21"/>
      <c r="O471" s="21"/>
      <c r="P471" s="21"/>
      <c r="Q471" s="3"/>
      <c r="R471" s="3"/>
    </row>
    <row r="472" spans="1:18">
      <c r="A472" s="3"/>
      <c r="B472" s="4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21"/>
      <c r="N472" s="21"/>
      <c r="O472" s="21"/>
      <c r="P472" s="21"/>
      <c r="Q472" s="3"/>
      <c r="R472" s="3"/>
    </row>
    <row r="473" spans="1:18">
      <c r="A473" s="3"/>
      <c r="B473" s="4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21"/>
      <c r="N473" s="21"/>
      <c r="O473" s="21"/>
      <c r="P473" s="21"/>
      <c r="Q473" s="3"/>
      <c r="R473" s="3"/>
    </row>
    <row r="474" spans="1:18">
      <c r="A474" s="3"/>
      <c r="B474" s="4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21"/>
      <c r="N474" s="21"/>
      <c r="O474" s="21"/>
      <c r="P474" s="21"/>
      <c r="Q474" s="3"/>
      <c r="R474" s="3"/>
    </row>
    <row r="475" spans="1:18">
      <c r="A475" s="3"/>
      <c r="B475" s="4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21"/>
      <c r="N475" s="21"/>
      <c r="O475" s="21"/>
      <c r="P475" s="21"/>
      <c r="Q475" s="3"/>
      <c r="R475" s="3"/>
    </row>
    <row r="476" spans="1:18">
      <c r="A476" s="3"/>
      <c r="B476" s="4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21"/>
      <c r="N476" s="21"/>
      <c r="O476" s="21"/>
      <c r="P476" s="21"/>
      <c r="Q476" s="3"/>
      <c r="R476" s="3"/>
    </row>
    <row r="477" spans="1:18">
      <c r="A477" s="3"/>
      <c r="B477" s="4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21"/>
      <c r="N477" s="21"/>
      <c r="O477" s="21"/>
      <c r="P477" s="21"/>
      <c r="Q477" s="3"/>
      <c r="R477" s="3"/>
    </row>
    <row r="478" spans="1:18">
      <c r="A478" s="3"/>
      <c r="B478" s="4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21"/>
      <c r="N478" s="21"/>
      <c r="O478" s="21"/>
      <c r="P478" s="21"/>
      <c r="Q478" s="3"/>
      <c r="R478" s="3"/>
    </row>
    <row r="479" spans="1:18">
      <c r="A479" s="3"/>
      <c r="B479" s="4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21"/>
      <c r="N479" s="21"/>
      <c r="O479" s="21"/>
      <c r="P479" s="21"/>
      <c r="Q479" s="3"/>
      <c r="R479" s="3"/>
    </row>
    <row r="480" spans="1:18">
      <c r="A480" s="3"/>
      <c r="B480" s="4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21"/>
      <c r="N480" s="21"/>
      <c r="O480" s="21"/>
      <c r="P480" s="21"/>
      <c r="Q480" s="3"/>
      <c r="R480" s="3"/>
    </row>
    <row r="481" spans="1:18">
      <c r="A481" s="3"/>
      <c r="B481" s="4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21"/>
      <c r="N481" s="21"/>
      <c r="O481" s="21"/>
      <c r="P481" s="21"/>
      <c r="Q481" s="3"/>
      <c r="R481" s="3"/>
    </row>
    <row r="482" spans="1:18">
      <c r="A482" s="3"/>
      <c r="B482" s="4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21"/>
      <c r="N482" s="21"/>
      <c r="O482" s="21"/>
      <c r="P482" s="21"/>
      <c r="Q482" s="3"/>
      <c r="R482" s="3"/>
    </row>
    <row r="483" spans="1:18">
      <c r="A483" s="3"/>
      <c r="B483" s="4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21"/>
      <c r="N483" s="21"/>
      <c r="O483" s="21"/>
      <c r="P483" s="21"/>
      <c r="Q483" s="3"/>
      <c r="R483" s="3"/>
    </row>
    <row r="484" spans="1:18">
      <c r="A484" s="3"/>
      <c r="B484" s="4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21"/>
      <c r="N484" s="21"/>
      <c r="O484" s="21"/>
      <c r="P484" s="21"/>
      <c r="Q484" s="3"/>
      <c r="R484" s="3"/>
    </row>
    <row r="485" spans="1:18">
      <c r="A485" s="3"/>
      <c r="B485" s="4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21"/>
      <c r="N485" s="21"/>
      <c r="O485" s="21"/>
      <c r="P485" s="21"/>
      <c r="Q485" s="3"/>
      <c r="R485" s="3"/>
    </row>
    <row r="486" spans="1:18">
      <c r="A486" s="3"/>
      <c r="B486" s="4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21"/>
      <c r="N486" s="21"/>
      <c r="O486" s="21"/>
      <c r="P486" s="21"/>
      <c r="Q486" s="3"/>
      <c r="R486" s="3"/>
    </row>
    <row r="487" spans="1:18">
      <c r="A487" s="3"/>
      <c r="B487" s="4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21"/>
      <c r="N487" s="21"/>
      <c r="O487" s="21"/>
      <c r="P487" s="21"/>
      <c r="Q487" s="3"/>
      <c r="R487" s="3"/>
    </row>
    <row r="488" spans="1:18">
      <c r="A488" s="3"/>
      <c r="B488" s="4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21"/>
      <c r="N488" s="21"/>
      <c r="O488" s="21"/>
      <c r="P488" s="21"/>
      <c r="Q488" s="3"/>
      <c r="R488" s="3"/>
    </row>
    <row r="489" spans="1:18">
      <c r="A489" s="3"/>
      <c r="B489" s="4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21"/>
      <c r="N489" s="21"/>
      <c r="O489" s="21"/>
      <c r="P489" s="21"/>
      <c r="Q489" s="3"/>
      <c r="R489" s="3"/>
    </row>
    <row r="490" spans="1:18">
      <c r="A490" s="3"/>
      <c r="B490" s="4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21"/>
      <c r="N490" s="21"/>
      <c r="O490" s="21"/>
      <c r="P490" s="21"/>
      <c r="Q490" s="3"/>
      <c r="R490" s="3"/>
    </row>
    <row r="491" spans="1:18">
      <c r="A491" s="3"/>
      <c r="B491" s="4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21"/>
      <c r="N491" s="21"/>
      <c r="O491" s="21"/>
      <c r="P491" s="21"/>
      <c r="Q491" s="3"/>
      <c r="R491" s="3"/>
    </row>
    <row r="492" spans="1:18">
      <c r="A492" s="3"/>
      <c r="B492" s="4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21"/>
      <c r="N492" s="21"/>
      <c r="O492" s="21"/>
      <c r="P492" s="21"/>
      <c r="Q492" s="3"/>
      <c r="R492" s="3"/>
    </row>
    <row r="493" spans="1:18">
      <c r="A493" s="3"/>
      <c r="B493" s="4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21"/>
      <c r="N493" s="21"/>
      <c r="O493" s="21"/>
      <c r="P493" s="21"/>
      <c r="Q493" s="3"/>
      <c r="R493" s="3"/>
    </row>
    <row r="494" spans="1:18">
      <c r="A494" s="3"/>
      <c r="B494" s="4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21"/>
      <c r="N494" s="21"/>
      <c r="O494" s="21"/>
      <c r="P494" s="21"/>
      <c r="Q494" s="3"/>
      <c r="R494" s="3"/>
    </row>
    <row r="495" spans="1:18">
      <c r="A495" s="3"/>
      <c r="B495" s="4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21"/>
      <c r="N495" s="21"/>
      <c r="O495" s="21"/>
      <c r="P495" s="21"/>
      <c r="Q495" s="3"/>
      <c r="R495" s="3"/>
    </row>
    <row r="496" spans="1:18">
      <c r="A496" s="3"/>
      <c r="B496" s="4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21"/>
      <c r="N496" s="21"/>
      <c r="O496" s="21"/>
      <c r="P496" s="21"/>
      <c r="Q496" s="3"/>
      <c r="R496" s="3"/>
    </row>
    <row r="497" spans="1:18">
      <c r="A497" s="3"/>
      <c r="B497" s="4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21"/>
      <c r="N497" s="21"/>
      <c r="O497" s="21"/>
      <c r="P497" s="21"/>
      <c r="Q497" s="3"/>
      <c r="R497" s="3"/>
    </row>
    <row r="498" spans="1:18">
      <c r="A498" s="3"/>
      <c r="B498" s="4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21"/>
      <c r="N498" s="21"/>
      <c r="O498" s="21"/>
      <c r="P498" s="21"/>
      <c r="Q498" s="3"/>
      <c r="R498" s="3"/>
    </row>
    <row r="499" spans="1:18">
      <c r="A499" s="3"/>
      <c r="B499" s="4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21"/>
      <c r="N499" s="21"/>
      <c r="O499" s="21"/>
      <c r="P499" s="21"/>
      <c r="Q499" s="3"/>
      <c r="R499" s="3"/>
    </row>
    <row r="500" spans="1:18">
      <c r="A500" s="3"/>
      <c r="B500" s="4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21"/>
      <c r="N500" s="21"/>
      <c r="O500" s="21"/>
      <c r="P500" s="21"/>
      <c r="Q500" s="3"/>
      <c r="R500" s="3"/>
    </row>
  </sheetData>
  <mergeCells count="2">
    <mergeCell ref="A1:R1"/>
    <mergeCell ref="A2:R2"/>
  </mergeCells>
  <dataValidations count="2">
    <dataValidation type="list" sqref="D5:D500" xr:uid="{00000000-0002-0000-1100-000000000000}">
      <formula1>"Ingreso,Egreso"</formula1>
    </dataValidation>
    <dataValidation type="list" sqref="Q5:Q500" xr:uid="{00000000-0002-0000-1100-000001000000}">
      <formula1>"Pendiente,Facturado,Cobrado,Pagado,Anulado"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2"/>
  <sheetViews>
    <sheetView topLeftCell="A19" workbookViewId="0">
      <selection sqref="A1:O1"/>
    </sheetView>
  </sheetViews>
  <sheetFormatPr baseColWidth="10" defaultColWidth="8.6640625" defaultRowHeight="14"/>
  <cols>
    <col min="1" max="1" width="14" customWidth="1"/>
    <col min="2" max="3" width="18" customWidth="1"/>
    <col min="4" max="5" width="22" customWidth="1"/>
    <col min="6" max="6" width="20" customWidth="1"/>
    <col min="7" max="7" width="26" customWidth="1"/>
    <col min="8" max="8" width="16" customWidth="1"/>
    <col min="9" max="9" width="18" customWidth="1"/>
    <col min="10" max="10" width="20" customWidth="1"/>
    <col min="11" max="12" width="22" customWidth="1"/>
    <col min="13" max="13" width="23" customWidth="1"/>
    <col min="14" max="14" width="22" customWidth="1"/>
    <col min="15" max="15" width="16" customWidth="1"/>
  </cols>
  <sheetData>
    <row r="1" spans="1:19" ht="20" customHeight="1">
      <c r="A1" s="74" t="s">
        <v>1923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9" ht="24" customHeight="1">
      <c r="A2" s="75" t="s">
        <v>1924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4" spans="1:19" ht="24" customHeight="1">
      <c r="A4" s="40" t="s">
        <v>897</v>
      </c>
      <c r="B4" s="40" t="s">
        <v>1731</v>
      </c>
      <c r="C4" s="40" t="s">
        <v>1732</v>
      </c>
      <c r="D4" s="40" t="s">
        <v>1733</v>
      </c>
      <c r="E4" s="40" t="s">
        <v>1925</v>
      </c>
      <c r="F4" s="40" t="s">
        <v>1736</v>
      </c>
      <c r="G4" s="40" t="s">
        <v>1738</v>
      </c>
      <c r="H4" s="40" t="s">
        <v>1926</v>
      </c>
      <c r="I4" s="40" t="s">
        <v>1740</v>
      </c>
      <c r="J4" s="40" t="s">
        <v>1741</v>
      </c>
      <c r="K4" s="40" t="s">
        <v>1927</v>
      </c>
      <c r="L4" s="40" t="s">
        <v>1742</v>
      </c>
      <c r="M4" s="40" t="s">
        <v>1928</v>
      </c>
      <c r="N4" s="40" t="s">
        <v>1929</v>
      </c>
      <c r="O4" s="40" t="s">
        <v>1930</v>
      </c>
      <c r="Q4" t="s">
        <v>897</v>
      </c>
      <c r="R4" t="s">
        <v>1265</v>
      </c>
      <c r="S4" t="s">
        <v>1266</v>
      </c>
    </row>
    <row r="5" spans="1:19">
      <c r="A5" t="s">
        <v>1027</v>
      </c>
      <c r="B5" s="4">
        <f>SUM('15_Cumplimiento_Metas'!J5:J10)</f>
        <v>3080</v>
      </c>
      <c r="C5" s="4">
        <f>SUM('15_Cumplimiento_Metas'!K5:K10)</f>
        <v>350</v>
      </c>
      <c r="D5" s="8">
        <f t="shared" ref="D5:D10" si="0">IFERROR(C5/B5,0)</f>
        <v>0.11363636363636363</v>
      </c>
      <c r="E5" s="4">
        <f>SUM('15_Cumplimiento_Metas'!P5:P10)</f>
        <v>2668</v>
      </c>
      <c r="F5" s="4">
        <f>SUM('15_Cumplimiento_Metas'!O5:O10)</f>
        <v>350</v>
      </c>
      <c r="G5" s="8">
        <f t="shared" ref="G5:G10" si="1">IFERROR(F5/E5,0)</f>
        <v>0.13118440779610194</v>
      </c>
      <c r="H5" s="4">
        <f>SUM('07_Gastos_Fijos'!$D$5:$D$9)</f>
        <v>2255</v>
      </c>
      <c r="I5" s="4">
        <f>SUM('15_Cumplimiento_Metas'!S5:S10)</f>
        <v>0</v>
      </c>
      <c r="J5" s="4">
        <f t="shared" ref="J5:J10" si="2">F5-H5-I5</f>
        <v>-1905</v>
      </c>
      <c r="K5" s="4">
        <f>B5*'07_Gastos_Fijos'!$B$13</f>
        <v>616</v>
      </c>
      <c r="L5" s="8">
        <f t="shared" ref="L5:L10" si="3">IFERROR(J5/C5,0)</f>
        <v>-5.4428571428571431</v>
      </c>
      <c r="M5" s="8">
        <f>'07_Gastos_Fijos'!$B$13</f>
        <v>0.2</v>
      </c>
      <c r="N5" s="4">
        <f t="shared" ref="N5:N10" si="4">J5-K5</f>
        <v>-2521</v>
      </c>
      <c r="O5" t="str">
        <f t="shared" ref="O5:O10" si="5">IF(J5&gt;=K5,"VERDE",IF(J5&gt;=0,"AMARILLO","ROJO"))</f>
        <v>ROJO</v>
      </c>
      <c r="Q5" t="s">
        <v>1027</v>
      </c>
      <c r="R5">
        <f t="shared" ref="R5:S10" si="6">J5</f>
        <v>-1905</v>
      </c>
      <c r="S5">
        <f t="shared" si="6"/>
        <v>616</v>
      </c>
    </row>
    <row r="6" spans="1:19">
      <c r="A6" t="s">
        <v>1062</v>
      </c>
      <c r="B6" s="4">
        <f>SUM('15_Cumplimiento_Metas'!J11:J16)</f>
        <v>4280</v>
      </c>
      <c r="C6" s="4">
        <f>SUM('15_Cumplimiento_Metas'!K11:K16)</f>
        <v>0</v>
      </c>
      <c r="D6" s="8">
        <f t="shared" si="0"/>
        <v>0</v>
      </c>
      <c r="E6" s="4">
        <f>SUM('15_Cumplimiento_Metas'!P11:P16)</f>
        <v>3649.5</v>
      </c>
      <c r="F6" s="4">
        <f>SUM('15_Cumplimiento_Metas'!O11:O16)</f>
        <v>0</v>
      </c>
      <c r="G6" s="8">
        <f t="shared" si="1"/>
        <v>0</v>
      </c>
      <c r="H6" s="4">
        <f>SUM('07_Gastos_Fijos'!$D$5:$D$9)</f>
        <v>2255</v>
      </c>
      <c r="I6" s="4">
        <f>SUM('15_Cumplimiento_Metas'!S11:S16)</f>
        <v>0</v>
      </c>
      <c r="J6" s="4">
        <f t="shared" si="2"/>
        <v>-2255</v>
      </c>
      <c r="K6" s="4">
        <f>B6*'07_Gastos_Fijos'!$B$13</f>
        <v>856</v>
      </c>
      <c r="L6" s="8">
        <f t="shared" si="3"/>
        <v>0</v>
      </c>
      <c r="M6" s="8">
        <f>'07_Gastos_Fijos'!$B$13</f>
        <v>0.2</v>
      </c>
      <c r="N6" s="4">
        <f t="shared" si="4"/>
        <v>-3111</v>
      </c>
      <c r="O6" t="str">
        <f t="shared" si="5"/>
        <v>ROJO</v>
      </c>
      <c r="Q6" t="s">
        <v>1062</v>
      </c>
      <c r="R6">
        <f t="shared" si="6"/>
        <v>-2255</v>
      </c>
      <c r="S6">
        <f t="shared" si="6"/>
        <v>856</v>
      </c>
    </row>
    <row r="7" spans="1:19">
      <c r="A7" t="s">
        <v>1187</v>
      </c>
      <c r="B7" s="4">
        <f>SUM('15_Cumplimiento_Metas'!J17:J22)</f>
        <v>3650</v>
      </c>
      <c r="C7" s="4">
        <f>SUM('15_Cumplimiento_Metas'!K17:K22)</f>
        <v>0</v>
      </c>
      <c r="D7" s="8">
        <f t="shared" si="0"/>
        <v>0</v>
      </c>
      <c r="E7" s="4">
        <f>SUM('15_Cumplimiento_Metas'!P17:P22)</f>
        <v>3140.75</v>
      </c>
      <c r="F7" s="4">
        <f>SUM('15_Cumplimiento_Metas'!O17:O22)</f>
        <v>0</v>
      </c>
      <c r="G7" s="8">
        <f t="shared" si="1"/>
        <v>0</v>
      </c>
      <c r="H7" s="4">
        <f>SUM('07_Gastos_Fijos'!$D$5:$D$9)</f>
        <v>2255</v>
      </c>
      <c r="I7" s="4">
        <f>SUM('15_Cumplimiento_Metas'!S17:S22)</f>
        <v>0</v>
      </c>
      <c r="J7" s="4">
        <f t="shared" si="2"/>
        <v>-2255</v>
      </c>
      <c r="K7" s="4">
        <f>B7*'07_Gastos_Fijos'!$B$13</f>
        <v>730</v>
      </c>
      <c r="L7" s="8">
        <f t="shared" si="3"/>
        <v>0</v>
      </c>
      <c r="M7" s="8">
        <f>'07_Gastos_Fijos'!$B$13</f>
        <v>0.2</v>
      </c>
      <c r="N7" s="4">
        <f t="shared" si="4"/>
        <v>-2985</v>
      </c>
      <c r="O7" t="str">
        <f t="shared" si="5"/>
        <v>ROJO</v>
      </c>
      <c r="Q7" t="s">
        <v>1187</v>
      </c>
      <c r="R7">
        <f t="shared" si="6"/>
        <v>-2255</v>
      </c>
      <c r="S7">
        <f t="shared" si="6"/>
        <v>730</v>
      </c>
    </row>
    <row r="8" spans="1:19">
      <c r="A8" t="s">
        <v>1188</v>
      </c>
      <c r="B8" s="4">
        <f>SUM('15_Cumplimiento_Metas'!J23:J28)</f>
        <v>3685</v>
      </c>
      <c r="C8" s="4">
        <f>SUM('15_Cumplimiento_Metas'!K23:K28)</f>
        <v>0</v>
      </c>
      <c r="D8" s="8">
        <f t="shared" si="0"/>
        <v>0</v>
      </c>
      <c r="E8" s="4">
        <f>SUM('15_Cumplimiento_Metas'!P23:P28)</f>
        <v>3170.5</v>
      </c>
      <c r="F8" s="4">
        <f>SUM('15_Cumplimiento_Metas'!O23:O28)</f>
        <v>0</v>
      </c>
      <c r="G8" s="8">
        <f t="shared" si="1"/>
        <v>0</v>
      </c>
      <c r="H8" s="4">
        <f>SUM('07_Gastos_Fijos'!$D$5:$D$9)</f>
        <v>2255</v>
      </c>
      <c r="I8" s="4">
        <f>SUM('15_Cumplimiento_Metas'!S23:S28)</f>
        <v>0</v>
      </c>
      <c r="J8" s="4">
        <f t="shared" si="2"/>
        <v>-2255</v>
      </c>
      <c r="K8" s="4">
        <f>B8*'07_Gastos_Fijos'!$B$13</f>
        <v>737</v>
      </c>
      <c r="L8" s="8">
        <f t="shared" si="3"/>
        <v>0</v>
      </c>
      <c r="M8" s="8">
        <f>'07_Gastos_Fijos'!$B$13</f>
        <v>0.2</v>
      </c>
      <c r="N8" s="4">
        <f t="shared" si="4"/>
        <v>-2992</v>
      </c>
      <c r="O8" t="str">
        <f t="shared" si="5"/>
        <v>ROJO</v>
      </c>
      <c r="Q8" t="s">
        <v>1188</v>
      </c>
      <c r="R8">
        <f t="shared" si="6"/>
        <v>-2255</v>
      </c>
      <c r="S8">
        <f t="shared" si="6"/>
        <v>737</v>
      </c>
    </row>
    <row r="9" spans="1:19">
      <c r="A9" t="s">
        <v>1189</v>
      </c>
      <c r="B9" s="4">
        <f>SUM('15_Cumplimiento_Metas'!J29:J34)</f>
        <v>3805</v>
      </c>
      <c r="C9" s="4">
        <f>SUM('15_Cumplimiento_Metas'!K29:K34)</f>
        <v>0</v>
      </c>
      <c r="D9" s="8">
        <f t="shared" si="0"/>
        <v>0</v>
      </c>
      <c r="E9" s="4">
        <f>SUM('15_Cumplimiento_Metas'!P29:P34)</f>
        <v>3276.75</v>
      </c>
      <c r="F9" s="4">
        <f>SUM('15_Cumplimiento_Metas'!O29:O34)</f>
        <v>0</v>
      </c>
      <c r="G9" s="8">
        <f t="shared" si="1"/>
        <v>0</v>
      </c>
      <c r="H9" s="4">
        <f>SUM('07_Gastos_Fijos'!$D$5:$D$9)</f>
        <v>2255</v>
      </c>
      <c r="I9" s="4">
        <f>SUM('15_Cumplimiento_Metas'!S29:S34)</f>
        <v>0</v>
      </c>
      <c r="J9" s="4">
        <f t="shared" si="2"/>
        <v>-2255</v>
      </c>
      <c r="K9" s="4">
        <f>B9*'07_Gastos_Fijos'!$B$13</f>
        <v>761</v>
      </c>
      <c r="L9" s="8">
        <f t="shared" si="3"/>
        <v>0</v>
      </c>
      <c r="M9" s="8">
        <f>'07_Gastos_Fijos'!$B$13</f>
        <v>0.2</v>
      </c>
      <c r="N9" s="4">
        <f t="shared" si="4"/>
        <v>-3016</v>
      </c>
      <c r="O9" t="str">
        <f t="shared" si="5"/>
        <v>ROJO</v>
      </c>
      <c r="Q9" t="s">
        <v>1189</v>
      </c>
      <c r="R9">
        <f t="shared" si="6"/>
        <v>-2255</v>
      </c>
      <c r="S9">
        <f t="shared" si="6"/>
        <v>761</v>
      </c>
    </row>
    <row r="10" spans="1:19">
      <c r="A10" t="s">
        <v>1190</v>
      </c>
      <c r="B10" s="4">
        <f>SUM('15_Cumplimiento_Metas'!J35:J40)</f>
        <v>4140</v>
      </c>
      <c r="C10" s="4">
        <f>SUM('15_Cumplimiento_Metas'!K35:K40)</f>
        <v>0</v>
      </c>
      <c r="D10" s="8">
        <f t="shared" si="0"/>
        <v>0</v>
      </c>
      <c r="E10" s="4">
        <f>SUM('15_Cumplimiento_Metas'!P35:P40)</f>
        <v>3570.5</v>
      </c>
      <c r="F10" s="4">
        <f>SUM('15_Cumplimiento_Metas'!O35:O40)</f>
        <v>0</v>
      </c>
      <c r="G10" s="8">
        <f t="shared" si="1"/>
        <v>0</v>
      </c>
      <c r="H10" s="4">
        <f>SUM('07_Gastos_Fijos'!$D$5:$D$9)</f>
        <v>2255</v>
      </c>
      <c r="I10" s="4">
        <f>SUM('15_Cumplimiento_Metas'!S35:S40)</f>
        <v>0</v>
      </c>
      <c r="J10" s="4">
        <f t="shared" si="2"/>
        <v>-2255</v>
      </c>
      <c r="K10" s="4">
        <f>B10*'07_Gastos_Fijos'!$B$13</f>
        <v>828</v>
      </c>
      <c r="L10" s="8">
        <f t="shared" si="3"/>
        <v>0</v>
      </c>
      <c r="M10" s="8">
        <f>'07_Gastos_Fijos'!$B$13</f>
        <v>0.2</v>
      </c>
      <c r="N10" s="4">
        <f t="shared" si="4"/>
        <v>-3083</v>
      </c>
      <c r="O10" t="str">
        <f t="shared" si="5"/>
        <v>ROJO</v>
      </c>
      <c r="Q10" t="s">
        <v>1190</v>
      </c>
      <c r="R10">
        <f t="shared" si="6"/>
        <v>-2255</v>
      </c>
      <c r="S10">
        <f t="shared" si="6"/>
        <v>828</v>
      </c>
    </row>
    <row r="11" spans="1:19">
      <c r="B11" s="4"/>
      <c r="C11" s="4"/>
      <c r="D11" s="8"/>
      <c r="E11" s="4"/>
      <c r="F11" s="4"/>
      <c r="G11" s="8"/>
      <c r="H11" s="4"/>
      <c r="I11" s="4"/>
      <c r="J11" s="4"/>
      <c r="K11" s="4"/>
      <c r="L11" s="8"/>
      <c r="M11" s="8"/>
      <c r="N11" s="4"/>
    </row>
    <row r="12" spans="1:19">
      <c r="A12" s="42" t="s">
        <v>1931</v>
      </c>
      <c r="B12" s="43">
        <f>SUM(B5:B10)</f>
        <v>22640</v>
      </c>
      <c r="C12" s="43">
        <f>SUM(C5:C10)</f>
        <v>350</v>
      </c>
      <c r="D12" s="44">
        <f>IFERROR(C12/B12,0)</f>
        <v>1.5459363957597174E-2</v>
      </c>
      <c r="E12" s="43">
        <f>SUM(E5:E10)</f>
        <v>19476</v>
      </c>
      <c r="F12" s="43">
        <f>SUM(F5:F10)</f>
        <v>350</v>
      </c>
      <c r="G12" s="44">
        <f>IFERROR(F12/E12,0)</f>
        <v>1.7970835900595606E-2</v>
      </c>
      <c r="H12" s="43">
        <f>SUM(H5:H10)</f>
        <v>13530</v>
      </c>
      <c r="I12" s="43">
        <f>SUM(I5:I10)</f>
        <v>0</v>
      </c>
      <c r="J12" s="43">
        <f>SUM(J5:J10)</f>
        <v>-13180</v>
      </c>
      <c r="K12" s="43">
        <f>SUM(K5:K10)</f>
        <v>4528</v>
      </c>
      <c r="L12" s="44">
        <f>IFERROR(J12/C12,0)</f>
        <v>-37.657142857142858</v>
      </c>
      <c r="M12" s="44">
        <f>AVERAGE(M5:M10)</f>
        <v>0.19999999999999998</v>
      </c>
      <c r="N12" s="43">
        <f>SUM(N5:N10)</f>
        <v>-17708</v>
      </c>
      <c r="O12" s="42"/>
    </row>
  </sheetData>
  <mergeCells count="2">
    <mergeCell ref="A1:O1"/>
    <mergeCell ref="A2:O2"/>
  </mergeCells>
  <conditionalFormatting sqref="O5:O10">
    <cfRule type="expression" dxfId="2" priority="1">
      <formula>O5="VERDE"</formula>
    </cfRule>
    <cfRule type="expression" dxfId="1" priority="2">
      <formula>O5="AMARILLO"</formula>
    </cfRule>
    <cfRule type="expression" dxfId="0" priority="3">
      <formula>O5="ROJO"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1"/>
  <sheetViews>
    <sheetView tabSelected="1" workbookViewId="0">
      <selection sqref="A1:M1"/>
    </sheetView>
  </sheetViews>
  <sheetFormatPr baseColWidth="10" defaultColWidth="8.6640625" defaultRowHeight="14"/>
  <cols>
    <col min="1" max="1" width="40" customWidth="1"/>
    <col min="2" max="3" width="48" customWidth="1"/>
    <col min="4" max="4" width="38" customWidth="1"/>
    <col min="5" max="5" width="42" customWidth="1"/>
    <col min="6" max="6" width="24" customWidth="1"/>
    <col min="7" max="7" width="58" customWidth="1"/>
    <col min="8" max="8" width="28" customWidth="1"/>
    <col min="9" max="10" width="18" customWidth="1"/>
    <col min="11" max="11" width="28" customWidth="1"/>
    <col min="12" max="12" width="52" customWidth="1"/>
    <col min="13" max="13" width="32" customWidth="1"/>
  </cols>
  <sheetData>
    <row r="1" spans="1:13" ht="20" customHeight="1">
      <c r="A1" s="77" t="s">
        <v>1932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4" customHeight="1">
      <c r="A2" s="78" t="s">
        <v>1933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4" spans="1:13" ht="24" customHeight="1">
      <c r="A4" s="45" t="s">
        <v>1934</v>
      </c>
      <c r="B4" s="45" t="s">
        <v>1935</v>
      </c>
      <c r="C4" s="45" t="s">
        <v>74</v>
      </c>
      <c r="D4" s="45" t="s">
        <v>1936</v>
      </c>
      <c r="E4" s="45" t="s">
        <v>1937</v>
      </c>
      <c r="F4" s="45" t="s">
        <v>1938</v>
      </c>
      <c r="G4" s="45" t="s">
        <v>1939</v>
      </c>
      <c r="H4" s="45" t="s">
        <v>1940</v>
      </c>
      <c r="I4" s="45" t="s">
        <v>86</v>
      </c>
      <c r="J4" s="45" t="s">
        <v>1941</v>
      </c>
      <c r="K4" s="45" t="s">
        <v>1942</v>
      </c>
      <c r="L4" s="45" t="s">
        <v>1943</v>
      </c>
      <c r="M4" s="45" t="s">
        <v>1351</v>
      </c>
    </row>
    <row r="5" spans="1:13" ht="28">
      <c r="A5" s="3">
        <v>1</v>
      </c>
      <c r="B5" s="3" t="s">
        <v>1944</v>
      </c>
      <c r="C5" s="3" t="s">
        <v>1945</v>
      </c>
      <c r="D5" s="3" t="s">
        <v>1946</v>
      </c>
      <c r="E5" s="3" t="s">
        <v>1947</v>
      </c>
      <c r="F5" s="3"/>
      <c r="G5" s="3" t="s">
        <v>1948</v>
      </c>
      <c r="H5" s="3" t="s">
        <v>1949</v>
      </c>
      <c r="I5" s="3" t="s">
        <v>1950</v>
      </c>
      <c r="J5" s="3" t="s">
        <v>1951</v>
      </c>
      <c r="K5" s="3" t="s">
        <v>1952</v>
      </c>
      <c r="L5" s="3" t="s">
        <v>1953</v>
      </c>
      <c r="M5" s="3"/>
    </row>
    <row r="6" spans="1:13">
      <c r="A6" s="3">
        <v>2</v>
      </c>
      <c r="B6" s="3" t="s">
        <v>1954</v>
      </c>
      <c r="C6" s="3" t="s">
        <v>1955</v>
      </c>
      <c r="D6" s="3" t="s">
        <v>1946</v>
      </c>
      <c r="E6" s="3" t="s">
        <v>1956</v>
      </c>
      <c r="F6" s="3"/>
      <c r="G6" s="3" t="s">
        <v>1957</v>
      </c>
      <c r="H6" s="3" t="s">
        <v>1958</v>
      </c>
      <c r="I6" s="3" t="s">
        <v>1563</v>
      </c>
      <c r="J6" s="3" t="s">
        <v>1959</v>
      </c>
      <c r="K6" s="3" t="s">
        <v>1960</v>
      </c>
      <c r="L6" s="3" t="s">
        <v>1961</v>
      </c>
      <c r="M6" s="3"/>
    </row>
    <row r="7" spans="1:13" ht="28">
      <c r="A7" s="3">
        <v>3</v>
      </c>
      <c r="B7" s="3" t="s">
        <v>1962</v>
      </c>
      <c r="C7" s="3" t="s">
        <v>1963</v>
      </c>
      <c r="D7" s="3" t="s">
        <v>64</v>
      </c>
      <c r="E7" s="3" t="s">
        <v>1956</v>
      </c>
      <c r="F7" s="3" t="s">
        <v>1964</v>
      </c>
      <c r="G7" s="3" t="s">
        <v>1965</v>
      </c>
      <c r="H7" s="3" t="s">
        <v>1966</v>
      </c>
      <c r="I7" s="3" t="s">
        <v>1563</v>
      </c>
      <c r="J7" s="3" t="s">
        <v>1951</v>
      </c>
      <c r="K7" s="3" t="s">
        <v>1967</v>
      </c>
      <c r="L7" s="3" t="s">
        <v>1968</v>
      </c>
      <c r="M7" s="3"/>
    </row>
    <row r="8" spans="1:13" ht="28">
      <c r="A8" s="3">
        <v>4</v>
      </c>
      <c r="B8" s="3" t="s">
        <v>1969</v>
      </c>
      <c r="C8" s="3" t="s">
        <v>1970</v>
      </c>
      <c r="D8" s="3" t="s">
        <v>1946</v>
      </c>
      <c r="E8" s="3" t="s">
        <v>1956</v>
      </c>
      <c r="F8" s="3"/>
      <c r="G8" s="3" t="s">
        <v>1971</v>
      </c>
      <c r="H8" s="3" t="s">
        <v>1972</v>
      </c>
      <c r="I8" s="3" t="s">
        <v>1563</v>
      </c>
      <c r="J8" s="3" t="s">
        <v>1951</v>
      </c>
      <c r="K8" s="3" t="s">
        <v>1972</v>
      </c>
      <c r="L8" s="3" t="s">
        <v>1973</v>
      </c>
      <c r="M8" s="3"/>
    </row>
    <row r="9" spans="1:13" ht="28">
      <c r="A9" s="3">
        <v>5</v>
      </c>
      <c r="B9" s="3" t="s">
        <v>1974</v>
      </c>
      <c r="C9" s="3" t="s">
        <v>1975</v>
      </c>
      <c r="D9" s="3" t="s">
        <v>64</v>
      </c>
      <c r="E9" s="3" t="s">
        <v>1956</v>
      </c>
      <c r="F9" s="3" t="s">
        <v>1964</v>
      </c>
      <c r="G9" s="3" t="s">
        <v>1976</v>
      </c>
      <c r="H9" s="3" t="s">
        <v>1977</v>
      </c>
      <c r="I9" s="3" t="s">
        <v>1978</v>
      </c>
      <c r="J9" s="3" t="s">
        <v>1979</v>
      </c>
      <c r="K9" s="3" t="s">
        <v>1980</v>
      </c>
      <c r="L9" s="3" t="s">
        <v>1981</v>
      </c>
      <c r="M9" s="3"/>
    </row>
    <row r="10" spans="1:13">
      <c r="A10" s="3">
        <v>6</v>
      </c>
      <c r="B10" s="3" t="s">
        <v>1982</v>
      </c>
      <c r="C10" s="3" t="s">
        <v>1983</v>
      </c>
      <c r="D10" s="3" t="s">
        <v>64</v>
      </c>
      <c r="E10" s="3" t="s">
        <v>1984</v>
      </c>
      <c r="F10" s="3" t="s">
        <v>1964</v>
      </c>
      <c r="G10" s="3" t="s">
        <v>1985</v>
      </c>
      <c r="H10" s="3" t="s">
        <v>1986</v>
      </c>
      <c r="I10" s="3" t="s">
        <v>90</v>
      </c>
      <c r="J10" s="3" t="s">
        <v>1951</v>
      </c>
      <c r="K10" s="3" t="s">
        <v>1987</v>
      </c>
      <c r="L10" s="3" t="s">
        <v>1988</v>
      </c>
      <c r="M10" s="3"/>
    </row>
    <row r="11" spans="1:13">
      <c r="A11" s="3">
        <v>7</v>
      </c>
      <c r="B11" s="3" t="s">
        <v>1989</v>
      </c>
      <c r="C11" s="3" t="s">
        <v>1990</v>
      </c>
      <c r="D11" s="3" t="s">
        <v>64</v>
      </c>
      <c r="E11" s="3" t="s">
        <v>60</v>
      </c>
      <c r="F11" s="3"/>
      <c r="G11" s="3" t="s">
        <v>1991</v>
      </c>
      <c r="H11" s="3" t="s">
        <v>1992</v>
      </c>
      <c r="I11" s="3" t="s">
        <v>90</v>
      </c>
      <c r="J11" s="3" t="s">
        <v>1951</v>
      </c>
      <c r="K11" s="3" t="s">
        <v>1993</v>
      </c>
      <c r="L11" s="3" t="s">
        <v>1994</v>
      </c>
      <c r="M11" s="3"/>
    </row>
    <row r="12" spans="1:13">
      <c r="A12" s="3">
        <v>8</v>
      </c>
      <c r="B12" s="3" t="s">
        <v>1562</v>
      </c>
      <c r="C12" s="3" t="s">
        <v>1995</v>
      </c>
      <c r="D12" s="3" t="s">
        <v>64</v>
      </c>
      <c r="E12" s="3" t="s">
        <v>24</v>
      </c>
      <c r="F12" s="3"/>
      <c r="G12" s="3" t="s">
        <v>1996</v>
      </c>
      <c r="H12" s="3" t="s">
        <v>1997</v>
      </c>
      <c r="I12" s="3" t="s">
        <v>90</v>
      </c>
      <c r="J12" s="3" t="s">
        <v>1998</v>
      </c>
      <c r="K12" s="3" t="s">
        <v>1958</v>
      </c>
      <c r="L12" s="3" t="s">
        <v>1999</v>
      </c>
      <c r="M12" s="3"/>
    </row>
    <row r="13" spans="1:13">
      <c r="A13" s="3">
        <v>9</v>
      </c>
      <c r="B13" s="3" t="s">
        <v>2000</v>
      </c>
      <c r="C13" s="3" t="s">
        <v>2001</v>
      </c>
      <c r="D13" s="3" t="s">
        <v>1946</v>
      </c>
      <c r="E13" s="3" t="s">
        <v>1956</v>
      </c>
      <c r="F13" s="3" t="s">
        <v>1964</v>
      </c>
      <c r="G13" s="3" t="s">
        <v>2002</v>
      </c>
      <c r="H13" s="3" t="s">
        <v>2003</v>
      </c>
      <c r="I13" s="3" t="s">
        <v>1276</v>
      </c>
      <c r="J13" s="3" t="s">
        <v>2004</v>
      </c>
      <c r="K13" s="3" t="s">
        <v>2005</v>
      </c>
      <c r="L13" s="3" t="s">
        <v>2006</v>
      </c>
      <c r="M13" s="3"/>
    </row>
    <row r="14" spans="1:1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24" customHeight="1">
      <c r="A16" s="45" t="s">
        <v>2007</v>
      </c>
      <c r="B16" s="45" t="s">
        <v>2008</v>
      </c>
      <c r="C16" s="45" t="s">
        <v>2009</v>
      </c>
      <c r="D16" s="45" t="s">
        <v>2010</v>
      </c>
      <c r="E16" s="45" t="s">
        <v>2011</v>
      </c>
      <c r="F16" s="45" t="s">
        <v>2012</v>
      </c>
      <c r="G16" s="45" t="s">
        <v>2</v>
      </c>
      <c r="H16" s="3"/>
      <c r="I16" s="3"/>
      <c r="J16" s="3"/>
      <c r="K16" s="3"/>
      <c r="L16" s="3"/>
      <c r="M16" s="3"/>
    </row>
    <row r="17" spans="1:13">
      <c r="A17" s="3" t="s">
        <v>2013</v>
      </c>
      <c r="B17" s="3" t="s">
        <v>1140</v>
      </c>
      <c r="C17" s="3"/>
      <c r="D17" s="3"/>
      <c r="E17" s="3"/>
      <c r="F17" s="3"/>
      <c r="G17" s="3" t="s">
        <v>2014</v>
      </c>
      <c r="H17" s="3"/>
      <c r="I17" s="3"/>
      <c r="J17" s="3"/>
      <c r="K17" s="3"/>
      <c r="L17" s="3"/>
      <c r="M17" s="3"/>
    </row>
    <row r="18" spans="1:13">
      <c r="A18" s="3" t="s">
        <v>2015</v>
      </c>
      <c r="B18" s="3"/>
      <c r="C18" s="3" t="s">
        <v>1140</v>
      </c>
      <c r="D18" s="3"/>
      <c r="E18" s="3"/>
      <c r="F18" s="3"/>
      <c r="G18" s="3" t="s">
        <v>2016</v>
      </c>
      <c r="H18" s="3"/>
      <c r="I18" s="3"/>
      <c r="J18" s="3"/>
      <c r="K18" s="3"/>
      <c r="L18" s="3"/>
      <c r="M18" s="3"/>
    </row>
    <row r="19" spans="1:13">
      <c r="A19" s="3" t="s">
        <v>2017</v>
      </c>
      <c r="B19" s="3"/>
      <c r="C19" s="3"/>
      <c r="D19" s="3" t="s">
        <v>1140</v>
      </c>
      <c r="E19" s="3"/>
      <c r="F19" s="3"/>
      <c r="G19" s="3" t="s">
        <v>2018</v>
      </c>
      <c r="H19" s="3"/>
      <c r="I19" s="3"/>
      <c r="J19" s="3"/>
      <c r="K19" s="3"/>
      <c r="L19" s="3"/>
      <c r="M19" s="3"/>
    </row>
    <row r="20" spans="1:13" ht="28">
      <c r="A20" s="3" t="s">
        <v>2019</v>
      </c>
      <c r="B20" s="3"/>
      <c r="C20" s="3"/>
      <c r="D20" s="3"/>
      <c r="E20" s="3" t="s">
        <v>1140</v>
      </c>
      <c r="F20" s="3"/>
      <c r="G20" s="3" t="s">
        <v>2020</v>
      </c>
      <c r="H20" s="3"/>
      <c r="I20" s="3"/>
      <c r="J20" s="3"/>
      <c r="K20" s="3"/>
      <c r="L20" s="3"/>
      <c r="M20" s="3"/>
    </row>
    <row r="21" spans="1:13">
      <c r="A21" t="s">
        <v>2021</v>
      </c>
      <c r="F21" t="s">
        <v>1140</v>
      </c>
      <c r="G21" t="s">
        <v>2022</v>
      </c>
    </row>
    <row r="22" spans="1:13">
      <c r="A22" t="s">
        <v>2023</v>
      </c>
      <c r="G22" t="s">
        <v>2024</v>
      </c>
    </row>
    <row r="25" spans="1:13" ht="24" customHeight="1">
      <c r="A25" s="45" t="s">
        <v>1288</v>
      </c>
      <c r="B25" s="45" t="s">
        <v>2025</v>
      </c>
      <c r="C25" s="45" t="s">
        <v>2026</v>
      </c>
      <c r="D25" s="45" t="s">
        <v>2027</v>
      </c>
      <c r="E25" s="45" t="s">
        <v>2028</v>
      </c>
      <c r="F25" s="45" t="s">
        <v>384</v>
      </c>
    </row>
    <row r="26" spans="1:13">
      <c r="A26" t="s">
        <v>2029</v>
      </c>
      <c r="B26" t="s">
        <v>2030</v>
      </c>
      <c r="C26" t="s">
        <v>2031</v>
      </c>
      <c r="D26" t="s">
        <v>2032</v>
      </c>
      <c r="E26" t="s">
        <v>2033</v>
      </c>
      <c r="F26" t="s">
        <v>1956</v>
      </c>
    </row>
    <row r="27" spans="1:13">
      <c r="A27" t="s">
        <v>2034</v>
      </c>
      <c r="B27" t="s">
        <v>2035</v>
      </c>
      <c r="C27" t="s">
        <v>2036</v>
      </c>
      <c r="D27" t="s">
        <v>2037</v>
      </c>
      <c r="E27" t="s">
        <v>2038</v>
      </c>
      <c r="F27" t="s">
        <v>1964</v>
      </c>
    </row>
    <row r="28" spans="1:13">
      <c r="A28" t="s">
        <v>2039</v>
      </c>
      <c r="B28" t="s">
        <v>2040</v>
      </c>
      <c r="C28" t="s">
        <v>2041</v>
      </c>
      <c r="D28" t="s">
        <v>2042</v>
      </c>
      <c r="E28" t="s">
        <v>2043</v>
      </c>
      <c r="F28" t="s">
        <v>1956</v>
      </c>
    </row>
    <row r="29" spans="1:13">
      <c r="A29" t="s">
        <v>2044</v>
      </c>
      <c r="B29" t="s">
        <v>2045</v>
      </c>
      <c r="C29" t="s">
        <v>2046</v>
      </c>
      <c r="D29" t="s">
        <v>2047</v>
      </c>
      <c r="E29" t="s">
        <v>2048</v>
      </c>
      <c r="F29" t="s">
        <v>2049</v>
      </c>
    </row>
    <row r="30" spans="1:13">
      <c r="A30" t="s">
        <v>2050</v>
      </c>
      <c r="B30" t="s">
        <v>2051</v>
      </c>
      <c r="C30" t="s">
        <v>2052</v>
      </c>
      <c r="D30" t="s">
        <v>2053</v>
      </c>
      <c r="E30" t="s">
        <v>2054</v>
      </c>
      <c r="F30" t="s">
        <v>1956</v>
      </c>
    </row>
    <row r="33" spans="1:6" ht="24" customHeight="1">
      <c r="A33" s="45" t="s">
        <v>74</v>
      </c>
      <c r="B33" s="45" t="s">
        <v>1964</v>
      </c>
      <c r="C33" s="45" t="s">
        <v>1956</v>
      </c>
      <c r="D33" s="45" t="s">
        <v>2055</v>
      </c>
      <c r="E33" s="45" t="s">
        <v>28</v>
      </c>
      <c r="F33" s="45" t="s">
        <v>2</v>
      </c>
    </row>
    <row r="34" spans="1:6">
      <c r="A34" t="s">
        <v>2056</v>
      </c>
      <c r="B34" t="s">
        <v>1140</v>
      </c>
      <c r="C34" t="s">
        <v>1140</v>
      </c>
      <c r="D34" t="s">
        <v>1140</v>
      </c>
      <c r="E34" t="s">
        <v>1135</v>
      </c>
      <c r="F34" t="s">
        <v>2057</v>
      </c>
    </row>
    <row r="35" spans="1:6">
      <c r="A35" t="s">
        <v>2058</v>
      </c>
      <c r="B35" t="s">
        <v>1140</v>
      </c>
      <c r="C35" t="s">
        <v>1135</v>
      </c>
      <c r="D35" t="s">
        <v>1135</v>
      </c>
      <c r="E35" t="s">
        <v>1135</v>
      </c>
      <c r="F35" t="s">
        <v>2059</v>
      </c>
    </row>
    <row r="36" spans="1:6">
      <c r="A36" t="s">
        <v>2060</v>
      </c>
      <c r="B36" t="s">
        <v>1140</v>
      </c>
      <c r="C36" t="s">
        <v>1140</v>
      </c>
      <c r="D36" t="s">
        <v>1140</v>
      </c>
      <c r="E36" t="s">
        <v>1135</v>
      </c>
      <c r="F36" t="s">
        <v>2061</v>
      </c>
    </row>
    <row r="37" spans="1:6">
      <c r="A37" t="s">
        <v>2062</v>
      </c>
      <c r="B37" t="s">
        <v>1140</v>
      </c>
      <c r="C37" t="s">
        <v>1135</v>
      </c>
      <c r="D37" t="s">
        <v>1135</v>
      </c>
      <c r="E37" t="s">
        <v>1135</v>
      </c>
      <c r="F37" t="s">
        <v>2059</v>
      </c>
    </row>
    <row r="38" spans="1:6">
      <c r="A38" t="s">
        <v>2063</v>
      </c>
      <c r="B38" t="s">
        <v>1140</v>
      </c>
      <c r="C38" t="s">
        <v>1140</v>
      </c>
      <c r="D38" t="s">
        <v>1140</v>
      </c>
      <c r="E38" t="s">
        <v>1135</v>
      </c>
      <c r="F38" t="s">
        <v>2064</v>
      </c>
    </row>
    <row r="39" spans="1:6">
      <c r="A39" t="s">
        <v>2065</v>
      </c>
      <c r="B39" t="s">
        <v>1140</v>
      </c>
      <c r="C39" t="s">
        <v>1140</v>
      </c>
      <c r="D39" t="s">
        <v>1135</v>
      </c>
      <c r="E39" t="s">
        <v>1140</v>
      </c>
      <c r="F39" t="s">
        <v>2066</v>
      </c>
    </row>
    <row r="40" spans="1:6">
      <c r="A40" t="s">
        <v>2067</v>
      </c>
      <c r="B40" t="s">
        <v>1140</v>
      </c>
      <c r="C40" t="s">
        <v>1140</v>
      </c>
      <c r="D40" t="s">
        <v>1135</v>
      </c>
      <c r="E40" t="s">
        <v>1140</v>
      </c>
      <c r="F40" t="s">
        <v>2068</v>
      </c>
    </row>
    <row r="41" spans="1:6">
      <c r="A41" t="s">
        <v>2069</v>
      </c>
      <c r="B41" t="s">
        <v>1135</v>
      </c>
      <c r="C41" t="s">
        <v>1135</v>
      </c>
      <c r="D41" t="s">
        <v>1135</v>
      </c>
      <c r="E41" t="s">
        <v>1135</v>
      </c>
      <c r="F41" t="s">
        <v>2070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00"/>
  <sheetViews>
    <sheetView workbookViewId="0"/>
  </sheetViews>
  <sheetFormatPr baseColWidth="10" defaultColWidth="8.6640625" defaultRowHeight="14"/>
  <cols>
    <col min="1" max="1" width="16" customWidth="1"/>
    <col min="2" max="2" width="15" customWidth="1"/>
    <col min="3" max="4" width="18" customWidth="1"/>
    <col min="5" max="5" width="34" customWidth="1"/>
    <col min="6" max="6" width="18" customWidth="1"/>
    <col min="7" max="7" width="20" customWidth="1"/>
    <col min="8" max="8" width="18" customWidth="1"/>
    <col min="9" max="9" width="20" customWidth="1"/>
    <col min="10" max="10" width="48" customWidth="1"/>
    <col min="11" max="11" width="42" customWidth="1"/>
    <col min="12" max="12" width="30" customWidth="1"/>
    <col min="13" max="13" width="24" customWidth="1"/>
    <col min="14" max="14" width="32" customWidth="1"/>
    <col min="15" max="15" width="24" customWidth="1"/>
    <col min="16" max="17" width="16" customWidth="1"/>
    <col min="18" max="18" width="40" customWidth="1"/>
  </cols>
  <sheetData>
    <row r="1" spans="1:18" ht="20" customHeight="1">
      <c r="A1" s="77" t="s">
        <v>2071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8" ht="24" customHeight="1">
      <c r="A2" s="78" t="s">
        <v>2072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</row>
    <row r="4" spans="1:18" ht="24" customHeight="1">
      <c r="A4" s="45" t="s">
        <v>2073</v>
      </c>
      <c r="B4" s="45" t="s">
        <v>2074</v>
      </c>
      <c r="C4" s="45" t="s">
        <v>2075</v>
      </c>
      <c r="D4" s="45" t="s">
        <v>2076</v>
      </c>
      <c r="E4" s="45" t="s">
        <v>2077</v>
      </c>
      <c r="F4" s="45" t="s">
        <v>2078</v>
      </c>
      <c r="G4" s="45" t="s">
        <v>2079</v>
      </c>
      <c r="H4" s="45" t="s">
        <v>1972</v>
      </c>
      <c r="I4" s="45" t="s">
        <v>2080</v>
      </c>
      <c r="J4" s="45" t="s">
        <v>2081</v>
      </c>
      <c r="K4" s="45" t="s">
        <v>2082</v>
      </c>
      <c r="L4" s="45" t="s">
        <v>382</v>
      </c>
      <c r="M4" s="45" t="s">
        <v>2083</v>
      </c>
      <c r="N4" s="45" t="s">
        <v>2084</v>
      </c>
      <c r="O4" s="45" t="s">
        <v>2085</v>
      </c>
      <c r="P4" s="45" t="s">
        <v>2086</v>
      </c>
      <c r="Q4" s="45" t="s">
        <v>86</v>
      </c>
      <c r="R4" s="45" t="s">
        <v>1351</v>
      </c>
    </row>
    <row r="5" spans="1:18" ht="28">
      <c r="A5" s="46" t="s">
        <v>1547</v>
      </c>
      <c r="B5" s="47">
        <v>46219</v>
      </c>
      <c r="C5" s="46" t="s">
        <v>81</v>
      </c>
      <c r="D5" s="46" t="s">
        <v>139</v>
      </c>
      <c r="E5" s="46" t="s">
        <v>2087</v>
      </c>
      <c r="F5" s="46" t="s">
        <v>102</v>
      </c>
      <c r="G5" s="46"/>
      <c r="H5" s="46" t="s">
        <v>2088</v>
      </c>
      <c r="I5" s="48"/>
      <c r="J5" s="46" t="s">
        <v>2089</v>
      </c>
      <c r="K5" s="46" t="s">
        <v>2090</v>
      </c>
      <c r="L5" s="46" t="s">
        <v>2091</v>
      </c>
      <c r="M5" s="46" t="s">
        <v>1096</v>
      </c>
      <c r="N5" s="46" t="s">
        <v>2092</v>
      </c>
      <c r="O5" s="46"/>
      <c r="P5" s="49"/>
      <c r="Q5" s="46" t="s">
        <v>1950</v>
      </c>
      <c r="R5" s="46" t="s">
        <v>2093</v>
      </c>
    </row>
    <row r="6" spans="1:18">
      <c r="A6" s="46"/>
      <c r="B6" s="47"/>
      <c r="C6" s="46"/>
      <c r="D6" s="46"/>
      <c r="E6" s="46"/>
      <c r="F6" s="46"/>
      <c r="G6" s="46"/>
      <c r="H6" s="46"/>
      <c r="I6" s="48"/>
      <c r="J6" s="46"/>
      <c r="K6" s="46"/>
      <c r="L6" s="46"/>
      <c r="M6" s="46"/>
      <c r="N6" s="46"/>
      <c r="O6" s="46"/>
      <c r="P6" s="49"/>
      <c r="Q6" s="46"/>
      <c r="R6" s="46"/>
    </row>
    <row r="7" spans="1:18">
      <c r="A7" s="46"/>
      <c r="B7" s="47"/>
      <c r="C7" s="46"/>
      <c r="D7" s="46"/>
      <c r="E7" s="46"/>
      <c r="F7" s="46"/>
      <c r="G7" s="46"/>
      <c r="H7" s="46"/>
      <c r="I7" s="48"/>
      <c r="J7" s="46"/>
      <c r="K7" s="46"/>
      <c r="L7" s="46"/>
      <c r="M7" s="46"/>
      <c r="N7" s="46"/>
      <c r="O7" s="46"/>
      <c r="P7" s="49"/>
      <c r="Q7" s="46"/>
      <c r="R7" s="46"/>
    </row>
    <row r="8" spans="1:18">
      <c r="A8" s="46"/>
      <c r="B8" s="47"/>
      <c r="C8" s="46"/>
      <c r="D8" s="46"/>
      <c r="E8" s="46"/>
      <c r="F8" s="46"/>
      <c r="G8" s="46"/>
      <c r="H8" s="46"/>
      <c r="I8" s="48"/>
      <c r="J8" s="46"/>
      <c r="K8" s="46"/>
      <c r="L8" s="46"/>
      <c r="M8" s="46"/>
      <c r="N8" s="46"/>
      <c r="O8" s="46"/>
      <c r="P8" s="49"/>
      <c r="Q8" s="46"/>
      <c r="R8" s="46"/>
    </row>
    <row r="9" spans="1:18">
      <c r="A9" s="46"/>
      <c r="B9" s="47"/>
      <c r="C9" s="46"/>
      <c r="D9" s="46"/>
      <c r="E9" s="46"/>
      <c r="F9" s="46"/>
      <c r="G9" s="46"/>
      <c r="H9" s="46"/>
      <c r="I9" s="48"/>
      <c r="J9" s="46"/>
      <c r="K9" s="46"/>
      <c r="L9" s="46"/>
      <c r="M9" s="46"/>
      <c r="N9" s="46"/>
      <c r="O9" s="46"/>
      <c r="P9" s="49"/>
      <c r="Q9" s="46"/>
      <c r="R9" s="46"/>
    </row>
    <row r="10" spans="1:18">
      <c r="A10" s="46"/>
      <c r="B10" s="47"/>
      <c r="C10" s="46"/>
      <c r="D10" s="46"/>
      <c r="E10" s="46"/>
      <c r="F10" s="46"/>
      <c r="G10" s="46"/>
      <c r="H10" s="46"/>
      <c r="I10" s="48"/>
      <c r="J10" s="46"/>
      <c r="K10" s="46"/>
      <c r="L10" s="46"/>
      <c r="M10" s="46"/>
      <c r="N10" s="46"/>
      <c r="O10" s="46"/>
      <c r="P10" s="49"/>
      <c r="Q10" s="46"/>
      <c r="R10" s="46"/>
    </row>
    <row r="11" spans="1:18">
      <c r="A11" s="46"/>
      <c r="B11" s="47"/>
      <c r="C11" s="46"/>
      <c r="D11" s="46"/>
      <c r="E11" s="46"/>
      <c r="F11" s="46"/>
      <c r="G11" s="46"/>
      <c r="H11" s="46"/>
      <c r="I11" s="48"/>
      <c r="J11" s="46"/>
      <c r="K11" s="46"/>
      <c r="L11" s="46"/>
      <c r="M11" s="46"/>
      <c r="N11" s="46"/>
      <c r="O11" s="46"/>
      <c r="P11" s="49"/>
      <c r="Q11" s="46"/>
      <c r="R11" s="46"/>
    </row>
    <row r="12" spans="1:18">
      <c r="A12" s="46"/>
      <c r="B12" s="47"/>
      <c r="C12" s="46"/>
      <c r="D12" s="46"/>
      <c r="E12" s="46"/>
      <c r="F12" s="46"/>
      <c r="G12" s="46"/>
      <c r="H12" s="46"/>
      <c r="I12" s="48"/>
      <c r="J12" s="46"/>
      <c r="K12" s="46"/>
      <c r="L12" s="46"/>
      <c r="M12" s="46"/>
      <c r="N12" s="46"/>
      <c r="O12" s="46"/>
      <c r="P12" s="49"/>
      <c r="Q12" s="46"/>
      <c r="R12" s="46"/>
    </row>
    <row r="13" spans="1:18">
      <c r="A13" s="46"/>
      <c r="B13" s="47"/>
      <c r="C13" s="46"/>
      <c r="D13" s="46"/>
      <c r="E13" s="46"/>
      <c r="F13" s="46"/>
      <c r="G13" s="46"/>
      <c r="H13" s="46"/>
      <c r="I13" s="48"/>
      <c r="J13" s="46"/>
      <c r="K13" s="46"/>
      <c r="L13" s="46"/>
      <c r="M13" s="46"/>
      <c r="N13" s="46"/>
      <c r="O13" s="46"/>
      <c r="P13" s="49"/>
      <c r="Q13" s="46"/>
      <c r="R13" s="46"/>
    </row>
    <row r="14" spans="1:18">
      <c r="A14" s="46"/>
      <c r="B14" s="47"/>
      <c r="C14" s="46"/>
      <c r="D14" s="46"/>
      <c r="E14" s="46"/>
      <c r="F14" s="46"/>
      <c r="G14" s="46"/>
      <c r="H14" s="46"/>
      <c r="I14" s="48"/>
      <c r="J14" s="46"/>
      <c r="K14" s="46"/>
      <c r="L14" s="46"/>
      <c r="M14" s="46"/>
      <c r="N14" s="46"/>
      <c r="O14" s="46"/>
      <c r="P14" s="49"/>
      <c r="Q14" s="46"/>
      <c r="R14" s="46"/>
    </row>
    <row r="15" spans="1:18">
      <c r="A15" s="46"/>
      <c r="B15" s="47"/>
      <c r="C15" s="46"/>
      <c r="D15" s="46"/>
      <c r="E15" s="46"/>
      <c r="F15" s="46"/>
      <c r="G15" s="46"/>
      <c r="H15" s="46"/>
      <c r="I15" s="48"/>
      <c r="J15" s="46"/>
      <c r="K15" s="46"/>
      <c r="L15" s="46"/>
      <c r="M15" s="46"/>
      <c r="N15" s="46"/>
      <c r="O15" s="46"/>
      <c r="P15" s="49"/>
      <c r="Q15" s="46"/>
      <c r="R15" s="46"/>
    </row>
    <row r="16" spans="1:18">
      <c r="A16" s="46"/>
      <c r="B16" s="47"/>
      <c r="C16" s="46"/>
      <c r="D16" s="46"/>
      <c r="E16" s="46"/>
      <c r="F16" s="46"/>
      <c r="G16" s="46"/>
      <c r="H16" s="46"/>
      <c r="I16" s="48"/>
      <c r="J16" s="46"/>
      <c r="K16" s="46"/>
      <c r="L16" s="46"/>
      <c r="M16" s="46"/>
      <c r="N16" s="46"/>
      <c r="O16" s="46"/>
      <c r="P16" s="49"/>
      <c r="Q16" s="46"/>
      <c r="R16" s="46"/>
    </row>
    <row r="17" spans="1:18">
      <c r="A17" s="46"/>
      <c r="B17" s="47"/>
      <c r="C17" s="46"/>
      <c r="D17" s="46"/>
      <c r="E17" s="46"/>
      <c r="F17" s="46"/>
      <c r="G17" s="46"/>
      <c r="H17" s="46"/>
      <c r="I17" s="48"/>
      <c r="J17" s="46"/>
      <c r="K17" s="46"/>
      <c r="L17" s="46"/>
      <c r="M17" s="46"/>
      <c r="N17" s="46"/>
      <c r="O17" s="46"/>
      <c r="P17" s="49"/>
      <c r="Q17" s="46"/>
      <c r="R17" s="46"/>
    </row>
    <row r="18" spans="1:18">
      <c r="A18" s="46"/>
      <c r="B18" s="47"/>
      <c r="C18" s="46"/>
      <c r="D18" s="46"/>
      <c r="E18" s="46"/>
      <c r="F18" s="46"/>
      <c r="G18" s="46"/>
      <c r="H18" s="46"/>
      <c r="I18" s="48"/>
      <c r="J18" s="46"/>
      <c r="K18" s="46"/>
      <c r="L18" s="46"/>
      <c r="M18" s="46"/>
      <c r="N18" s="46"/>
      <c r="O18" s="46"/>
      <c r="P18" s="49"/>
      <c r="Q18" s="46"/>
      <c r="R18" s="46"/>
    </row>
    <row r="19" spans="1:18">
      <c r="A19" s="46"/>
      <c r="B19" s="47"/>
      <c r="C19" s="46"/>
      <c r="D19" s="46"/>
      <c r="E19" s="46"/>
      <c r="F19" s="46"/>
      <c r="G19" s="46"/>
      <c r="H19" s="46"/>
      <c r="I19" s="48"/>
      <c r="J19" s="46"/>
      <c r="K19" s="46"/>
      <c r="L19" s="46"/>
      <c r="M19" s="46"/>
      <c r="N19" s="46"/>
      <c r="O19" s="46"/>
      <c r="P19" s="49"/>
      <c r="Q19" s="46"/>
      <c r="R19" s="46"/>
    </row>
    <row r="20" spans="1:18">
      <c r="A20" s="46"/>
      <c r="B20" s="47"/>
      <c r="C20" s="46"/>
      <c r="D20" s="46"/>
      <c r="E20" s="46"/>
      <c r="F20" s="46"/>
      <c r="G20" s="46"/>
      <c r="H20" s="46"/>
      <c r="I20" s="48"/>
      <c r="J20" s="46"/>
      <c r="K20" s="46"/>
      <c r="L20" s="46"/>
      <c r="M20" s="46"/>
      <c r="N20" s="46"/>
      <c r="O20" s="46"/>
      <c r="P20" s="49"/>
      <c r="Q20" s="46"/>
      <c r="R20" s="46"/>
    </row>
    <row r="21" spans="1:18">
      <c r="A21" s="46"/>
      <c r="B21" s="47"/>
      <c r="C21" s="46"/>
      <c r="D21" s="46"/>
      <c r="E21" s="46"/>
      <c r="F21" s="46"/>
      <c r="G21" s="46"/>
      <c r="H21" s="46"/>
      <c r="I21" s="48"/>
      <c r="J21" s="46"/>
      <c r="K21" s="46"/>
      <c r="L21" s="46"/>
      <c r="M21" s="46"/>
      <c r="N21" s="46"/>
      <c r="O21" s="46"/>
      <c r="P21" s="49"/>
      <c r="Q21" s="46"/>
      <c r="R21" s="46"/>
    </row>
    <row r="22" spans="1:18">
      <c r="A22" s="46"/>
      <c r="B22" s="47"/>
      <c r="C22" s="46"/>
      <c r="D22" s="46"/>
      <c r="E22" s="46"/>
      <c r="F22" s="46"/>
      <c r="G22" s="46"/>
      <c r="H22" s="46"/>
      <c r="I22" s="48"/>
      <c r="J22" s="46"/>
      <c r="K22" s="46"/>
      <c r="L22" s="46"/>
      <c r="M22" s="46"/>
      <c r="N22" s="46"/>
      <c r="O22" s="46"/>
      <c r="P22" s="49"/>
      <c r="Q22" s="46"/>
      <c r="R22" s="46"/>
    </row>
    <row r="23" spans="1:18">
      <c r="A23" s="46"/>
      <c r="B23" s="47"/>
      <c r="C23" s="46"/>
      <c r="D23" s="46"/>
      <c r="E23" s="46"/>
      <c r="F23" s="46"/>
      <c r="G23" s="46"/>
      <c r="H23" s="46"/>
      <c r="I23" s="48"/>
      <c r="J23" s="46"/>
      <c r="K23" s="46"/>
      <c r="L23" s="46"/>
      <c r="M23" s="46"/>
      <c r="N23" s="46"/>
      <c r="O23" s="46"/>
      <c r="P23" s="49"/>
      <c r="Q23" s="46"/>
      <c r="R23" s="46"/>
    </row>
    <row r="24" spans="1:18">
      <c r="A24" s="46"/>
      <c r="B24" s="47"/>
      <c r="C24" s="46"/>
      <c r="D24" s="46"/>
      <c r="E24" s="46"/>
      <c r="F24" s="46"/>
      <c r="G24" s="46"/>
      <c r="H24" s="46"/>
      <c r="I24" s="48"/>
      <c r="J24" s="46"/>
      <c r="K24" s="46"/>
      <c r="L24" s="46"/>
      <c r="M24" s="46"/>
      <c r="N24" s="46"/>
      <c r="O24" s="46"/>
      <c r="P24" s="49"/>
      <c r="Q24" s="46"/>
      <c r="R24" s="46"/>
    </row>
    <row r="25" spans="1:18">
      <c r="A25" s="46"/>
      <c r="B25" s="47"/>
      <c r="C25" s="46"/>
      <c r="D25" s="46"/>
      <c r="E25" s="46"/>
      <c r="F25" s="46"/>
      <c r="G25" s="46"/>
      <c r="H25" s="46"/>
      <c r="I25" s="48"/>
      <c r="J25" s="46"/>
      <c r="K25" s="46"/>
      <c r="L25" s="46"/>
      <c r="M25" s="46"/>
      <c r="N25" s="46"/>
      <c r="O25" s="46"/>
      <c r="P25" s="49"/>
      <c r="Q25" s="46"/>
      <c r="R25" s="46"/>
    </row>
    <row r="26" spans="1:18">
      <c r="A26" s="46"/>
      <c r="B26" s="47"/>
      <c r="C26" s="46"/>
      <c r="D26" s="46"/>
      <c r="E26" s="46"/>
      <c r="F26" s="46"/>
      <c r="G26" s="46"/>
      <c r="H26" s="46"/>
      <c r="I26" s="48"/>
      <c r="J26" s="46"/>
      <c r="K26" s="46"/>
      <c r="L26" s="46"/>
      <c r="M26" s="46"/>
      <c r="N26" s="46"/>
      <c r="O26" s="46"/>
      <c r="P26" s="49"/>
      <c r="Q26" s="46"/>
      <c r="R26" s="46"/>
    </row>
    <row r="27" spans="1:18">
      <c r="A27" s="46"/>
      <c r="B27" s="47"/>
      <c r="C27" s="46"/>
      <c r="D27" s="46"/>
      <c r="E27" s="46"/>
      <c r="F27" s="46"/>
      <c r="G27" s="46"/>
      <c r="H27" s="46"/>
      <c r="I27" s="48"/>
      <c r="J27" s="46"/>
      <c r="K27" s="46"/>
      <c r="L27" s="46"/>
      <c r="M27" s="46"/>
      <c r="N27" s="46"/>
      <c r="O27" s="46"/>
      <c r="P27" s="49"/>
      <c r="Q27" s="46"/>
      <c r="R27" s="46"/>
    </row>
    <row r="28" spans="1:18">
      <c r="A28" s="46"/>
      <c r="B28" s="47"/>
      <c r="C28" s="46"/>
      <c r="D28" s="46"/>
      <c r="E28" s="46"/>
      <c r="F28" s="46"/>
      <c r="G28" s="46"/>
      <c r="H28" s="46"/>
      <c r="I28" s="48"/>
      <c r="J28" s="46"/>
      <c r="K28" s="46"/>
      <c r="L28" s="46"/>
      <c r="M28" s="46"/>
      <c r="N28" s="46"/>
      <c r="O28" s="46"/>
      <c r="P28" s="49"/>
      <c r="Q28" s="46"/>
      <c r="R28" s="46"/>
    </row>
    <row r="29" spans="1:18">
      <c r="A29" s="46"/>
      <c r="B29" s="47"/>
      <c r="C29" s="46"/>
      <c r="D29" s="46"/>
      <c r="E29" s="46"/>
      <c r="F29" s="46"/>
      <c r="G29" s="46"/>
      <c r="H29" s="46"/>
      <c r="I29" s="48"/>
      <c r="J29" s="46"/>
      <c r="K29" s="46"/>
      <c r="L29" s="46"/>
      <c r="M29" s="46"/>
      <c r="N29" s="46"/>
      <c r="O29" s="46"/>
      <c r="P29" s="49"/>
      <c r="Q29" s="46"/>
      <c r="R29" s="46"/>
    </row>
    <row r="30" spans="1:18">
      <c r="A30" s="46"/>
      <c r="B30" s="47"/>
      <c r="C30" s="46"/>
      <c r="D30" s="46"/>
      <c r="E30" s="46"/>
      <c r="F30" s="46"/>
      <c r="G30" s="46"/>
      <c r="H30" s="46"/>
      <c r="I30" s="48"/>
      <c r="J30" s="46"/>
      <c r="K30" s="46"/>
      <c r="L30" s="46"/>
      <c r="M30" s="46"/>
      <c r="N30" s="46"/>
      <c r="O30" s="46"/>
      <c r="P30" s="49"/>
      <c r="Q30" s="46"/>
      <c r="R30" s="46"/>
    </row>
    <row r="31" spans="1:18">
      <c r="A31" s="46"/>
      <c r="B31" s="47"/>
      <c r="C31" s="46"/>
      <c r="D31" s="46"/>
      <c r="E31" s="46"/>
      <c r="F31" s="46"/>
      <c r="G31" s="46"/>
      <c r="H31" s="46"/>
      <c r="I31" s="48"/>
      <c r="J31" s="46"/>
      <c r="K31" s="46"/>
      <c r="L31" s="46"/>
      <c r="M31" s="46"/>
      <c r="N31" s="46"/>
      <c r="O31" s="46"/>
      <c r="P31" s="49"/>
      <c r="Q31" s="46"/>
      <c r="R31" s="46"/>
    </row>
    <row r="32" spans="1:18">
      <c r="A32" s="46"/>
      <c r="B32" s="47"/>
      <c r="C32" s="46"/>
      <c r="D32" s="46"/>
      <c r="E32" s="46"/>
      <c r="F32" s="46"/>
      <c r="G32" s="46"/>
      <c r="H32" s="46"/>
      <c r="I32" s="48"/>
      <c r="J32" s="46"/>
      <c r="K32" s="46"/>
      <c r="L32" s="46"/>
      <c r="M32" s="46"/>
      <c r="N32" s="46"/>
      <c r="O32" s="46"/>
      <c r="P32" s="49"/>
      <c r="Q32" s="46"/>
      <c r="R32" s="46"/>
    </row>
    <row r="33" spans="1:18">
      <c r="A33" s="46"/>
      <c r="B33" s="47"/>
      <c r="C33" s="46"/>
      <c r="D33" s="46"/>
      <c r="E33" s="46"/>
      <c r="F33" s="46"/>
      <c r="G33" s="46"/>
      <c r="H33" s="46"/>
      <c r="I33" s="48"/>
      <c r="J33" s="46"/>
      <c r="K33" s="46"/>
      <c r="L33" s="46"/>
      <c r="M33" s="46"/>
      <c r="N33" s="46"/>
      <c r="O33" s="46"/>
      <c r="P33" s="49"/>
      <c r="Q33" s="46"/>
      <c r="R33" s="46"/>
    </row>
    <row r="34" spans="1:18">
      <c r="A34" s="46"/>
      <c r="B34" s="47"/>
      <c r="C34" s="46"/>
      <c r="D34" s="46"/>
      <c r="E34" s="46"/>
      <c r="F34" s="46"/>
      <c r="G34" s="46"/>
      <c r="H34" s="46"/>
      <c r="I34" s="48"/>
      <c r="J34" s="46"/>
      <c r="K34" s="46"/>
      <c r="L34" s="46"/>
      <c r="M34" s="46"/>
      <c r="N34" s="46"/>
      <c r="O34" s="46"/>
      <c r="P34" s="49"/>
      <c r="Q34" s="46"/>
      <c r="R34" s="46"/>
    </row>
    <row r="35" spans="1:18">
      <c r="A35" s="46"/>
      <c r="B35" s="47"/>
      <c r="C35" s="46"/>
      <c r="D35" s="46"/>
      <c r="E35" s="46"/>
      <c r="F35" s="46"/>
      <c r="G35" s="46"/>
      <c r="H35" s="46"/>
      <c r="I35" s="48"/>
      <c r="J35" s="46"/>
      <c r="K35" s="46"/>
      <c r="L35" s="46"/>
      <c r="M35" s="46"/>
      <c r="N35" s="46"/>
      <c r="O35" s="46"/>
      <c r="P35" s="49"/>
      <c r="Q35" s="46"/>
      <c r="R35" s="46"/>
    </row>
    <row r="36" spans="1:18">
      <c r="A36" s="46"/>
      <c r="B36" s="47"/>
      <c r="C36" s="46"/>
      <c r="D36" s="46"/>
      <c r="E36" s="46"/>
      <c r="F36" s="46"/>
      <c r="G36" s="46"/>
      <c r="H36" s="46"/>
      <c r="I36" s="48"/>
      <c r="J36" s="46"/>
      <c r="K36" s="46"/>
      <c r="L36" s="46"/>
      <c r="M36" s="46"/>
      <c r="N36" s="46"/>
      <c r="O36" s="46"/>
      <c r="P36" s="49"/>
      <c r="Q36" s="46"/>
      <c r="R36" s="46"/>
    </row>
    <row r="37" spans="1:18">
      <c r="A37" s="46"/>
      <c r="B37" s="47"/>
      <c r="C37" s="46"/>
      <c r="D37" s="46"/>
      <c r="E37" s="46"/>
      <c r="F37" s="46"/>
      <c r="G37" s="46"/>
      <c r="H37" s="46"/>
      <c r="I37" s="48"/>
      <c r="J37" s="46"/>
      <c r="K37" s="46"/>
      <c r="L37" s="46"/>
      <c r="M37" s="46"/>
      <c r="N37" s="46"/>
      <c r="O37" s="46"/>
      <c r="P37" s="49"/>
      <c r="Q37" s="46"/>
      <c r="R37" s="46"/>
    </row>
    <row r="38" spans="1:18">
      <c r="A38" s="46"/>
      <c r="B38" s="47"/>
      <c r="C38" s="46"/>
      <c r="D38" s="46"/>
      <c r="E38" s="46"/>
      <c r="F38" s="46"/>
      <c r="G38" s="46"/>
      <c r="H38" s="46"/>
      <c r="I38" s="48"/>
      <c r="J38" s="46"/>
      <c r="K38" s="46"/>
      <c r="L38" s="46"/>
      <c r="M38" s="46"/>
      <c r="N38" s="46"/>
      <c r="O38" s="46"/>
      <c r="P38" s="49"/>
      <c r="Q38" s="46"/>
      <c r="R38" s="46"/>
    </row>
    <row r="39" spans="1:18">
      <c r="A39" s="46"/>
      <c r="B39" s="47"/>
      <c r="C39" s="46"/>
      <c r="D39" s="46"/>
      <c r="E39" s="46"/>
      <c r="F39" s="46"/>
      <c r="G39" s="46"/>
      <c r="H39" s="46"/>
      <c r="I39" s="48"/>
      <c r="J39" s="46"/>
      <c r="K39" s="46"/>
      <c r="L39" s="46"/>
      <c r="M39" s="46"/>
      <c r="N39" s="46"/>
      <c r="O39" s="46"/>
      <c r="P39" s="49"/>
      <c r="Q39" s="46"/>
      <c r="R39" s="46"/>
    </row>
    <row r="40" spans="1:18">
      <c r="A40" s="46"/>
      <c r="B40" s="47"/>
      <c r="C40" s="46"/>
      <c r="D40" s="46"/>
      <c r="E40" s="46"/>
      <c r="F40" s="46"/>
      <c r="G40" s="46"/>
      <c r="H40" s="46"/>
      <c r="I40" s="48"/>
      <c r="J40" s="46"/>
      <c r="K40" s="46"/>
      <c r="L40" s="46"/>
      <c r="M40" s="46"/>
      <c r="N40" s="46"/>
      <c r="O40" s="46"/>
      <c r="P40" s="49"/>
      <c r="Q40" s="46"/>
      <c r="R40" s="46"/>
    </row>
    <row r="41" spans="1:18">
      <c r="A41" s="46"/>
      <c r="B41" s="47"/>
      <c r="C41" s="46"/>
      <c r="D41" s="46"/>
      <c r="E41" s="46"/>
      <c r="F41" s="46"/>
      <c r="G41" s="46"/>
      <c r="H41" s="46"/>
      <c r="I41" s="48"/>
      <c r="J41" s="46"/>
      <c r="K41" s="46"/>
      <c r="L41" s="46"/>
      <c r="M41" s="46"/>
      <c r="N41" s="46"/>
      <c r="O41" s="46"/>
      <c r="P41" s="49"/>
      <c r="Q41" s="46"/>
      <c r="R41" s="46"/>
    </row>
    <row r="42" spans="1:18">
      <c r="A42" s="46"/>
      <c r="B42" s="47"/>
      <c r="C42" s="46"/>
      <c r="D42" s="46"/>
      <c r="E42" s="46"/>
      <c r="F42" s="46"/>
      <c r="G42" s="46"/>
      <c r="H42" s="46"/>
      <c r="I42" s="48"/>
      <c r="J42" s="46"/>
      <c r="K42" s="46"/>
      <c r="L42" s="46"/>
      <c r="M42" s="46"/>
      <c r="N42" s="46"/>
      <c r="O42" s="46"/>
      <c r="P42" s="49"/>
      <c r="Q42" s="46"/>
      <c r="R42" s="46"/>
    </row>
    <row r="43" spans="1:18">
      <c r="A43" s="46"/>
      <c r="B43" s="47"/>
      <c r="C43" s="46"/>
      <c r="D43" s="46"/>
      <c r="E43" s="46"/>
      <c r="F43" s="46"/>
      <c r="G43" s="46"/>
      <c r="H43" s="46"/>
      <c r="I43" s="48"/>
      <c r="J43" s="46"/>
      <c r="K43" s="46"/>
      <c r="L43" s="46"/>
      <c r="M43" s="46"/>
      <c r="N43" s="46"/>
      <c r="O43" s="46"/>
      <c r="P43" s="49"/>
      <c r="Q43" s="46"/>
      <c r="R43" s="46"/>
    </row>
    <row r="44" spans="1:18">
      <c r="A44" s="46"/>
      <c r="B44" s="47"/>
      <c r="C44" s="46"/>
      <c r="D44" s="46"/>
      <c r="E44" s="46"/>
      <c r="F44" s="46"/>
      <c r="G44" s="46"/>
      <c r="H44" s="46"/>
      <c r="I44" s="48"/>
      <c r="J44" s="46"/>
      <c r="K44" s="46"/>
      <c r="L44" s="46"/>
      <c r="M44" s="46"/>
      <c r="N44" s="46"/>
      <c r="O44" s="46"/>
      <c r="P44" s="49"/>
      <c r="Q44" s="46"/>
      <c r="R44" s="46"/>
    </row>
    <row r="45" spans="1:18">
      <c r="A45" s="46"/>
      <c r="B45" s="47"/>
      <c r="C45" s="46"/>
      <c r="D45" s="46"/>
      <c r="E45" s="46"/>
      <c r="F45" s="46"/>
      <c r="G45" s="46"/>
      <c r="H45" s="46"/>
      <c r="I45" s="48"/>
      <c r="J45" s="46"/>
      <c r="K45" s="46"/>
      <c r="L45" s="46"/>
      <c r="M45" s="46"/>
      <c r="N45" s="46"/>
      <c r="O45" s="46"/>
      <c r="P45" s="49"/>
      <c r="Q45" s="46"/>
      <c r="R45" s="46"/>
    </row>
    <row r="46" spans="1:18">
      <c r="A46" s="46"/>
      <c r="B46" s="47"/>
      <c r="C46" s="46"/>
      <c r="D46" s="46"/>
      <c r="E46" s="46"/>
      <c r="F46" s="46"/>
      <c r="G46" s="46"/>
      <c r="H46" s="46"/>
      <c r="I46" s="48"/>
      <c r="J46" s="46"/>
      <c r="K46" s="46"/>
      <c r="L46" s="46"/>
      <c r="M46" s="46"/>
      <c r="N46" s="46"/>
      <c r="O46" s="46"/>
      <c r="P46" s="49"/>
      <c r="Q46" s="46"/>
      <c r="R46" s="46"/>
    </row>
    <row r="47" spans="1:18">
      <c r="A47" s="46"/>
      <c r="B47" s="47"/>
      <c r="C47" s="46"/>
      <c r="D47" s="46"/>
      <c r="E47" s="46"/>
      <c r="F47" s="46"/>
      <c r="G47" s="46"/>
      <c r="H47" s="46"/>
      <c r="I47" s="48"/>
      <c r="J47" s="46"/>
      <c r="K47" s="46"/>
      <c r="L47" s="46"/>
      <c r="M47" s="46"/>
      <c r="N47" s="46"/>
      <c r="O47" s="46"/>
      <c r="P47" s="49"/>
      <c r="Q47" s="46"/>
      <c r="R47" s="46"/>
    </row>
    <row r="48" spans="1:18">
      <c r="A48" s="46"/>
      <c r="B48" s="47"/>
      <c r="C48" s="46"/>
      <c r="D48" s="46"/>
      <c r="E48" s="46"/>
      <c r="F48" s="46"/>
      <c r="G48" s="46"/>
      <c r="H48" s="46"/>
      <c r="I48" s="48"/>
      <c r="J48" s="46"/>
      <c r="K48" s="46"/>
      <c r="L48" s="46"/>
      <c r="M48" s="46"/>
      <c r="N48" s="46"/>
      <c r="O48" s="46"/>
      <c r="P48" s="49"/>
      <c r="Q48" s="46"/>
      <c r="R48" s="46"/>
    </row>
    <row r="49" spans="1:18">
      <c r="A49" s="46"/>
      <c r="B49" s="47"/>
      <c r="C49" s="46"/>
      <c r="D49" s="46"/>
      <c r="E49" s="46"/>
      <c r="F49" s="46"/>
      <c r="G49" s="46"/>
      <c r="H49" s="46"/>
      <c r="I49" s="48"/>
      <c r="J49" s="46"/>
      <c r="K49" s="46"/>
      <c r="L49" s="46"/>
      <c r="M49" s="46"/>
      <c r="N49" s="46"/>
      <c r="O49" s="46"/>
      <c r="P49" s="49"/>
      <c r="Q49" s="46"/>
      <c r="R49" s="46"/>
    </row>
    <row r="50" spans="1:18">
      <c r="A50" s="46"/>
      <c r="B50" s="47"/>
      <c r="C50" s="46"/>
      <c r="D50" s="46"/>
      <c r="E50" s="46"/>
      <c r="F50" s="46"/>
      <c r="G50" s="46"/>
      <c r="H50" s="46"/>
      <c r="I50" s="48"/>
      <c r="J50" s="46"/>
      <c r="K50" s="46"/>
      <c r="L50" s="46"/>
      <c r="M50" s="46"/>
      <c r="N50" s="46"/>
      <c r="O50" s="46"/>
      <c r="P50" s="49"/>
      <c r="Q50" s="46"/>
      <c r="R50" s="46"/>
    </row>
    <row r="51" spans="1:18">
      <c r="A51" s="46"/>
      <c r="B51" s="47"/>
      <c r="C51" s="46"/>
      <c r="D51" s="46"/>
      <c r="E51" s="46"/>
      <c r="F51" s="46"/>
      <c r="G51" s="46"/>
      <c r="H51" s="46"/>
      <c r="I51" s="48"/>
      <c r="J51" s="46"/>
      <c r="K51" s="46"/>
      <c r="L51" s="46"/>
      <c r="M51" s="46"/>
      <c r="N51" s="46"/>
      <c r="O51" s="46"/>
      <c r="P51" s="49"/>
      <c r="Q51" s="46"/>
      <c r="R51" s="46"/>
    </row>
    <row r="52" spans="1:18">
      <c r="A52" s="46"/>
      <c r="B52" s="47"/>
      <c r="C52" s="46"/>
      <c r="D52" s="46"/>
      <c r="E52" s="46"/>
      <c r="F52" s="46"/>
      <c r="G52" s="46"/>
      <c r="H52" s="46"/>
      <c r="I52" s="48"/>
      <c r="J52" s="46"/>
      <c r="K52" s="46"/>
      <c r="L52" s="46"/>
      <c r="M52" s="46"/>
      <c r="N52" s="46"/>
      <c r="O52" s="46"/>
      <c r="P52" s="49"/>
      <c r="Q52" s="46"/>
      <c r="R52" s="46"/>
    </row>
    <row r="53" spans="1:18">
      <c r="A53" s="46"/>
      <c r="B53" s="47"/>
      <c r="C53" s="46"/>
      <c r="D53" s="46"/>
      <c r="E53" s="46"/>
      <c r="F53" s="46"/>
      <c r="G53" s="46"/>
      <c r="H53" s="46"/>
      <c r="I53" s="48"/>
      <c r="J53" s="46"/>
      <c r="K53" s="46"/>
      <c r="L53" s="46"/>
      <c r="M53" s="46"/>
      <c r="N53" s="46"/>
      <c r="O53" s="46"/>
      <c r="P53" s="49"/>
      <c r="Q53" s="46"/>
      <c r="R53" s="46"/>
    </row>
    <row r="54" spans="1:18">
      <c r="A54" s="46"/>
      <c r="B54" s="47"/>
      <c r="C54" s="46"/>
      <c r="D54" s="46"/>
      <c r="E54" s="46"/>
      <c r="F54" s="46"/>
      <c r="G54" s="46"/>
      <c r="H54" s="46"/>
      <c r="I54" s="48"/>
      <c r="J54" s="46"/>
      <c r="K54" s="46"/>
      <c r="L54" s="46"/>
      <c r="M54" s="46"/>
      <c r="N54" s="46"/>
      <c r="O54" s="46"/>
      <c r="P54" s="49"/>
      <c r="Q54" s="46"/>
      <c r="R54" s="46"/>
    </row>
    <row r="55" spans="1:18">
      <c r="A55" s="46"/>
      <c r="B55" s="47"/>
      <c r="C55" s="46"/>
      <c r="D55" s="46"/>
      <c r="E55" s="46"/>
      <c r="F55" s="46"/>
      <c r="G55" s="46"/>
      <c r="H55" s="46"/>
      <c r="I55" s="48"/>
      <c r="J55" s="46"/>
      <c r="K55" s="46"/>
      <c r="L55" s="46"/>
      <c r="M55" s="46"/>
      <c r="N55" s="46"/>
      <c r="O55" s="46"/>
      <c r="P55" s="49"/>
      <c r="Q55" s="46"/>
      <c r="R55" s="46"/>
    </row>
    <row r="56" spans="1:18">
      <c r="A56" s="46"/>
      <c r="B56" s="47"/>
      <c r="C56" s="46"/>
      <c r="D56" s="46"/>
      <c r="E56" s="46"/>
      <c r="F56" s="46"/>
      <c r="G56" s="46"/>
      <c r="H56" s="46"/>
      <c r="I56" s="48"/>
      <c r="J56" s="46"/>
      <c r="K56" s="46"/>
      <c r="L56" s="46"/>
      <c r="M56" s="46"/>
      <c r="N56" s="46"/>
      <c r="O56" s="46"/>
      <c r="P56" s="49"/>
      <c r="Q56" s="46"/>
      <c r="R56" s="46"/>
    </row>
    <row r="57" spans="1:18">
      <c r="A57" s="46"/>
      <c r="B57" s="47"/>
      <c r="C57" s="46"/>
      <c r="D57" s="46"/>
      <c r="E57" s="46"/>
      <c r="F57" s="46"/>
      <c r="G57" s="46"/>
      <c r="H57" s="46"/>
      <c r="I57" s="48"/>
      <c r="J57" s="46"/>
      <c r="K57" s="46"/>
      <c r="L57" s="46"/>
      <c r="M57" s="46"/>
      <c r="N57" s="46"/>
      <c r="O57" s="46"/>
      <c r="P57" s="49"/>
      <c r="Q57" s="46"/>
      <c r="R57" s="46"/>
    </row>
    <row r="58" spans="1:18">
      <c r="A58" s="46"/>
      <c r="B58" s="47"/>
      <c r="C58" s="46"/>
      <c r="D58" s="46"/>
      <c r="E58" s="46"/>
      <c r="F58" s="46"/>
      <c r="G58" s="46"/>
      <c r="H58" s="46"/>
      <c r="I58" s="48"/>
      <c r="J58" s="46"/>
      <c r="K58" s="46"/>
      <c r="L58" s="46"/>
      <c r="M58" s="46"/>
      <c r="N58" s="46"/>
      <c r="O58" s="46"/>
      <c r="P58" s="49"/>
      <c r="Q58" s="46"/>
      <c r="R58" s="46"/>
    </row>
    <row r="59" spans="1:18">
      <c r="A59" s="46"/>
      <c r="B59" s="47"/>
      <c r="C59" s="46"/>
      <c r="D59" s="46"/>
      <c r="E59" s="46"/>
      <c r="F59" s="46"/>
      <c r="G59" s="46"/>
      <c r="H59" s="46"/>
      <c r="I59" s="48"/>
      <c r="J59" s="46"/>
      <c r="K59" s="46"/>
      <c r="L59" s="46"/>
      <c r="M59" s="46"/>
      <c r="N59" s="46"/>
      <c r="O59" s="46"/>
      <c r="P59" s="49"/>
      <c r="Q59" s="46"/>
      <c r="R59" s="46"/>
    </row>
    <row r="60" spans="1:18">
      <c r="A60" s="46"/>
      <c r="B60" s="47"/>
      <c r="C60" s="46"/>
      <c r="D60" s="46"/>
      <c r="E60" s="46"/>
      <c r="F60" s="46"/>
      <c r="G60" s="46"/>
      <c r="H60" s="46"/>
      <c r="I60" s="48"/>
      <c r="J60" s="46"/>
      <c r="K60" s="46"/>
      <c r="L60" s="46"/>
      <c r="M60" s="46"/>
      <c r="N60" s="46"/>
      <c r="O60" s="46"/>
      <c r="P60" s="49"/>
      <c r="Q60" s="46"/>
      <c r="R60" s="46"/>
    </row>
    <row r="61" spans="1:18">
      <c r="A61" s="46"/>
      <c r="B61" s="47"/>
      <c r="C61" s="46"/>
      <c r="D61" s="46"/>
      <c r="E61" s="46"/>
      <c r="F61" s="46"/>
      <c r="G61" s="46"/>
      <c r="H61" s="46"/>
      <c r="I61" s="48"/>
      <c r="J61" s="46"/>
      <c r="K61" s="46"/>
      <c r="L61" s="46"/>
      <c r="M61" s="46"/>
      <c r="N61" s="46"/>
      <c r="O61" s="46"/>
      <c r="P61" s="49"/>
      <c r="Q61" s="46"/>
      <c r="R61" s="46"/>
    </row>
    <row r="62" spans="1:18">
      <c r="A62" s="46"/>
      <c r="B62" s="47"/>
      <c r="C62" s="46"/>
      <c r="D62" s="46"/>
      <c r="E62" s="46"/>
      <c r="F62" s="46"/>
      <c r="G62" s="46"/>
      <c r="H62" s="46"/>
      <c r="I62" s="48"/>
      <c r="J62" s="46"/>
      <c r="K62" s="46"/>
      <c r="L62" s="46"/>
      <c r="M62" s="46"/>
      <c r="N62" s="46"/>
      <c r="O62" s="46"/>
      <c r="P62" s="49"/>
      <c r="Q62" s="46"/>
      <c r="R62" s="46"/>
    </row>
    <row r="63" spans="1:18">
      <c r="A63" s="46"/>
      <c r="B63" s="47"/>
      <c r="C63" s="46"/>
      <c r="D63" s="46"/>
      <c r="E63" s="46"/>
      <c r="F63" s="46"/>
      <c r="G63" s="46"/>
      <c r="H63" s="46"/>
      <c r="I63" s="48"/>
      <c r="J63" s="46"/>
      <c r="K63" s="46"/>
      <c r="L63" s="46"/>
      <c r="M63" s="46"/>
      <c r="N63" s="46"/>
      <c r="O63" s="46"/>
      <c r="P63" s="49"/>
      <c r="Q63" s="46"/>
      <c r="R63" s="46"/>
    </row>
    <row r="64" spans="1:18">
      <c r="A64" s="46"/>
      <c r="B64" s="47"/>
      <c r="C64" s="46"/>
      <c r="D64" s="46"/>
      <c r="E64" s="46"/>
      <c r="F64" s="46"/>
      <c r="G64" s="46"/>
      <c r="H64" s="46"/>
      <c r="I64" s="48"/>
      <c r="J64" s="46"/>
      <c r="K64" s="46"/>
      <c r="L64" s="46"/>
      <c r="M64" s="46"/>
      <c r="N64" s="46"/>
      <c r="O64" s="46"/>
      <c r="P64" s="49"/>
      <c r="Q64" s="46"/>
      <c r="R64" s="46"/>
    </row>
    <row r="65" spans="1:18">
      <c r="A65" s="46"/>
      <c r="B65" s="47"/>
      <c r="C65" s="46"/>
      <c r="D65" s="46"/>
      <c r="E65" s="46"/>
      <c r="F65" s="46"/>
      <c r="G65" s="46"/>
      <c r="H65" s="46"/>
      <c r="I65" s="48"/>
      <c r="J65" s="46"/>
      <c r="K65" s="46"/>
      <c r="L65" s="46"/>
      <c r="M65" s="46"/>
      <c r="N65" s="46"/>
      <c r="O65" s="46"/>
      <c r="P65" s="49"/>
      <c r="Q65" s="46"/>
      <c r="R65" s="46"/>
    </row>
    <row r="66" spans="1:18">
      <c r="A66" s="46"/>
      <c r="B66" s="47"/>
      <c r="C66" s="46"/>
      <c r="D66" s="46"/>
      <c r="E66" s="46"/>
      <c r="F66" s="46"/>
      <c r="G66" s="46"/>
      <c r="H66" s="46"/>
      <c r="I66" s="48"/>
      <c r="J66" s="46"/>
      <c r="K66" s="46"/>
      <c r="L66" s="46"/>
      <c r="M66" s="46"/>
      <c r="N66" s="46"/>
      <c r="O66" s="46"/>
      <c r="P66" s="49"/>
      <c r="Q66" s="46"/>
      <c r="R66" s="46"/>
    </row>
    <row r="67" spans="1:18">
      <c r="A67" s="46"/>
      <c r="B67" s="47"/>
      <c r="C67" s="46"/>
      <c r="D67" s="46"/>
      <c r="E67" s="46"/>
      <c r="F67" s="46"/>
      <c r="G67" s="46"/>
      <c r="H67" s="46"/>
      <c r="I67" s="48"/>
      <c r="J67" s="46"/>
      <c r="K67" s="46"/>
      <c r="L67" s="46"/>
      <c r="M67" s="46"/>
      <c r="N67" s="46"/>
      <c r="O67" s="46"/>
      <c r="P67" s="49"/>
      <c r="Q67" s="46"/>
      <c r="R67" s="46"/>
    </row>
    <row r="68" spans="1:18">
      <c r="A68" s="46"/>
      <c r="B68" s="47"/>
      <c r="C68" s="46"/>
      <c r="D68" s="46"/>
      <c r="E68" s="46"/>
      <c r="F68" s="46"/>
      <c r="G68" s="46"/>
      <c r="H68" s="46"/>
      <c r="I68" s="48"/>
      <c r="J68" s="46"/>
      <c r="K68" s="46"/>
      <c r="L68" s="46"/>
      <c r="M68" s="46"/>
      <c r="N68" s="46"/>
      <c r="O68" s="46"/>
      <c r="P68" s="49"/>
      <c r="Q68" s="46"/>
      <c r="R68" s="46"/>
    </row>
    <row r="69" spans="1:18">
      <c r="A69" s="46"/>
      <c r="B69" s="47"/>
      <c r="C69" s="46"/>
      <c r="D69" s="46"/>
      <c r="E69" s="46"/>
      <c r="F69" s="46"/>
      <c r="G69" s="46"/>
      <c r="H69" s="46"/>
      <c r="I69" s="48"/>
      <c r="J69" s="46"/>
      <c r="K69" s="46"/>
      <c r="L69" s="46"/>
      <c r="M69" s="46"/>
      <c r="N69" s="46"/>
      <c r="O69" s="46"/>
      <c r="P69" s="49"/>
      <c r="Q69" s="46"/>
      <c r="R69" s="46"/>
    </row>
    <row r="70" spans="1:18">
      <c r="A70" s="46"/>
      <c r="B70" s="47"/>
      <c r="C70" s="46"/>
      <c r="D70" s="46"/>
      <c r="E70" s="46"/>
      <c r="F70" s="46"/>
      <c r="G70" s="46"/>
      <c r="H70" s="46"/>
      <c r="I70" s="48"/>
      <c r="J70" s="46"/>
      <c r="K70" s="46"/>
      <c r="L70" s="46"/>
      <c r="M70" s="46"/>
      <c r="N70" s="46"/>
      <c r="O70" s="46"/>
      <c r="P70" s="49"/>
      <c r="Q70" s="46"/>
      <c r="R70" s="46"/>
    </row>
    <row r="71" spans="1:18">
      <c r="A71" s="46"/>
      <c r="B71" s="47"/>
      <c r="C71" s="46"/>
      <c r="D71" s="46"/>
      <c r="E71" s="46"/>
      <c r="F71" s="46"/>
      <c r="G71" s="46"/>
      <c r="H71" s="46"/>
      <c r="I71" s="48"/>
      <c r="J71" s="46"/>
      <c r="K71" s="46"/>
      <c r="L71" s="46"/>
      <c r="M71" s="46"/>
      <c r="N71" s="46"/>
      <c r="O71" s="46"/>
      <c r="P71" s="49"/>
      <c r="Q71" s="46"/>
      <c r="R71" s="46"/>
    </row>
    <row r="72" spans="1:18">
      <c r="A72" s="46"/>
      <c r="B72" s="47"/>
      <c r="C72" s="46"/>
      <c r="D72" s="46"/>
      <c r="E72" s="46"/>
      <c r="F72" s="46"/>
      <c r="G72" s="46"/>
      <c r="H72" s="46"/>
      <c r="I72" s="48"/>
      <c r="J72" s="46"/>
      <c r="K72" s="46"/>
      <c r="L72" s="46"/>
      <c r="M72" s="46"/>
      <c r="N72" s="46"/>
      <c r="O72" s="46"/>
      <c r="P72" s="49"/>
      <c r="Q72" s="46"/>
      <c r="R72" s="46"/>
    </row>
    <row r="73" spans="1:18">
      <c r="A73" s="46"/>
      <c r="B73" s="47"/>
      <c r="C73" s="46"/>
      <c r="D73" s="46"/>
      <c r="E73" s="46"/>
      <c r="F73" s="46"/>
      <c r="G73" s="46"/>
      <c r="H73" s="46"/>
      <c r="I73" s="48"/>
      <c r="J73" s="46"/>
      <c r="K73" s="46"/>
      <c r="L73" s="46"/>
      <c r="M73" s="46"/>
      <c r="N73" s="46"/>
      <c r="O73" s="46"/>
      <c r="P73" s="49"/>
      <c r="Q73" s="46"/>
      <c r="R73" s="46"/>
    </row>
    <row r="74" spans="1:18">
      <c r="A74" s="46"/>
      <c r="B74" s="47"/>
      <c r="C74" s="46"/>
      <c r="D74" s="46"/>
      <c r="E74" s="46"/>
      <c r="F74" s="46"/>
      <c r="G74" s="46"/>
      <c r="H74" s="46"/>
      <c r="I74" s="48"/>
      <c r="J74" s="46"/>
      <c r="K74" s="46"/>
      <c r="L74" s="46"/>
      <c r="M74" s="46"/>
      <c r="N74" s="46"/>
      <c r="O74" s="46"/>
      <c r="P74" s="49"/>
      <c r="Q74" s="46"/>
      <c r="R74" s="46"/>
    </row>
    <row r="75" spans="1:18">
      <c r="A75" s="46"/>
      <c r="B75" s="47"/>
      <c r="C75" s="46"/>
      <c r="D75" s="46"/>
      <c r="E75" s="46"/>
      <c r="F75" s="46"/>
      <c r="G75" s="46"/>
      <c r="H75" s="46"/>
      <c r="I75" s="48"/>
      <c r="J75" s="46"/>
      <c r="K75" s="46"/>
      <c r="L75" s="46"/>
      <c r="M75" s="46"/>
      <c r="N75" s="46"/>
      <c r="O75" s="46"/>
      <c r="P75" s="49"/>
      <c r="Q75" s="46"/>
      <c r="R75" s="46"/>
    </row>
    <row r="76" spans="1:18">
      <c r="A76" s="46"/>
      <c r="B76" s="47"/>
      <c r="C76" s="46"/>
      <c r="D76" s="46"/>
      <c r="E76" s="46"/>
      <c r="F76" s="46"/>
      <c r="G76" s="46"/>
      <c r="H76" s="46"/>
      <c r="I76" s="48"/>
      <c r="J76" s="46"/>
      <c r="K76" s="46"/>
      <c r="L76" s="46"/>
      <c r="M76" s="46"/>
      <c r="N76" s="46"/>
      <c r="O76" s="46"/>
      <c r="P76" s="49"/>
      <c r="Q76" s="46"/>
      <c r="R76" s="46"/>
    </row>
    <row r="77" spans="1:18">
      <c r="A77" s="46"/>
      <c r="B77" s="47"/>
      <c r="C77" s="46"/>
      <c r="D77" s="46"/>
      <c r="E77" s="46"/>
      <c r="F77" s="46"/>
      <c r="G77" s="46"/>
      <c r="H77" s="46"/>
      <c r="I77" s="48"/>
      <c r="J77" s="46"/>
      <c r="K77" s="46"/>
      <c r="L77" s="46"/>
      <c r="M77" s="46"/>
      <c r="N77" s="46"/>
      <c r="O77" s="46"/>
      <c r="P77" s="49"/>
      <c r="Q77" s="46"/>
      <c r="R77" s="46"/>
    </row>
    <row r="78" spans="1:18">
      <c r="A78" s="46"/>
      <c r="B78" s="47"/>
      <c r="C78" s="46"/>
      <c r="D78" s="46"/>
      <c r="E78" s="46"/>
      <c r="F78" s="46"/>
      <c r="G78" s="46"/>
      <c r="H78" s="46"/>
      <c r="I78" s="48"/>
      <c r="J78" s="46"/>
      <c r="K78" s="46"/>
      <c r="L78" s="46"/>
      <c r="M78" s="46"/>
      <c r="N78" s="46"/>
      <c r="O78" s="46"/>
      <c r="P78" s="49"/>
      <c r="Q78" s="46"/>
      <c r="R78" s="46"/>
    </row>
    <row r="79" spans="1:18">
      <c r="A79" s="46"/>
      <c r="B79" s="47"/>
      <c r="C79" s="46"/>
      <c r="D79" s="46"/>
      <c r="E79" s="46"/>
      <c r="F79" s="46"/>
      <c r="G79" s="46"/>
      <c r="H79" s="46"/>
      <c r="I79" s="48"/>
      <c r="J79" s="46"/>
      <c r="K79" s="46"/>
      <c r="L79" s="46"/>
      <c r="M79" s="46"/>
      <c r="N79" s="46"/>
      <c r="O79" s="46"/>
      <c r="P79" s="49"/>
      <c r="Q79" s="46"/>
      <c r="R79" s="46"/>
    </row>
    <row r="80" spans="1:18">
      <c r="A80" s="46"/>
      <c r="B80" s="47"/>
      <c r="C80" s="46"/>
      <c r="D80" s="46"/>
      <c r="E80" s="46"/>
      <c r="F80" s="46"/>
      <c r="G80" s="46"/>
      <c r="H80" s="46"/>
      <c r="I80" s="48"/>
      <c r="J80" s="46"/>
      <c r="K80" s="46"/>
      <c r="L80" s="46"/>
      <c r="M80" s="46"/>
      <c r="N80" s="46"/>
      <c r="O80" s="46"/>
      <c r="P80" s="49"/>
      <c r="Q80" s="46"/>
      <c r="R80" s="46"/>
    </row>
    <row r="81" spans="1:18">
      <c r="A81" s="46"/>
      <c r="B81" s="47"/>
      <c r="C81" s="46"/>
      <c r="D81" s="46"/>
      <c r="E81" s="46"/>
      <c r="F81" s="46"/>
      <c r="G81" s="46"/>
      <c r="H81" s="46"/>
      <c r="I81" s="48"/>
      <c r="J81" s="46"/>
      <c r="K81" s="46"/>
      <c r="L81" s="46"/>
      <c r="M81" s="46"/>
      <c r="N81" s="46"/>
      <c r="O81" s="46"/>
      <c r="P81" s="49"/>
      <c r="Q81" s="46"/>
      <c r="R81" s="46"/>
    </row>
    <row r="82" spans="1:18">
      <c r="A82" s="46"/>
      <c r="B82" s="47"/>
      <c r="C82" s="46"/>
      <c r="D82" s="46"/>
      <c r="E82" s="46"/>
      <c r="F82" s="46"/>
      <c r="G82" s="46"/>
      <c r="H82" s="46"/>
      <c r="I82" s="48"/>
      <c r="J82" s="46"/>
      <c r="K82" s="46"/>
      <c r="L82" s="46"/>
      <c r="M82" s="46"/>
      <c r="N82" s="46"/>
      <c r="O82" s="46"/>
      <c r="P82" s="49"/>
      <c r="Q82" s="46"/>
      <c r="R82" s="46"/>
    </row>
    <row r="83" spans="1:18">
      <c r="A83" s="46"/>
      <c r="B83" s="47"/>
      <c r="C83" s="46"/>
      <c r="D83" s="46"/>
      <c r="E83" s="46"/>
      <c r="F83" s="46"/>
      <c r="G83" s="46"/>
      <c r="H83" s="46"/>
      <c r="I83" s="48"/>
      <c r="J83" s="46"/>
      <c r="K83" s="46"/>
      <c r="L83" s="46"/>
      <c r="M83" s="46"/>
      <c r="N83" s="46"/>
      <c r="O83" s="46"/>
      <c r="P83" s="49"/>
      <c r="Q83" s="46"/>
      <c r="R83" s="46"/>
    </row>
    <row r="84" spans="1:18">
      <c r="A84" s="46"/>
      <c r="B84" s="47"/>
      <c r="C84" s="46"/>
      <c r="D84" s="46"/>
      <c r="E84" s="46"/>
      <c r="F84" s="46"/>
      <c r="G84" s="46"/>
      <c r="H84" s="46"/>
      <c r="I84" s="48"/>
      <c r="J84" s="46"/>
      <c r="K84" s="46"/>
      <c r="L84" s="46"/>
      <c r="M84" s="46"/>
      <c r="N84" s="46"/>
      <c r="O84" s="46"/>
      <c r="P84" s="49"/>
      <c r="Q84" s="46"/>
      <c r="R84" s="46"/>
    </row>
    <row r="85" spans="1:18">
      <c r="A85" s="46"/>
      <c r="B85" s="47"/>
      <c r="C85" s="46"/>
      <c r="D85" s="46"/>
      <c r="E85" s="46"/>
      <c r="F85" s="46"/>
      <c r="G85" s="46"/>
      <c r="H85" s="46"/>
      <c r="I85" s="48"/>
      <c r="J85" s="46"/>
      <c r="K85" s="46"/>
      <c r="L85" s="46"/>
      <c r="M85" s="46"/>
      <c r="N85" s="46"/>
      <c r="O85" s="46"/>
      <c r="P85" s="49"/>
      <c r="Q85" s="46"/>
      <c r="R85" s="46"/>
    </row>
    <row r="86" spans="1:18">
      <c r="A86" s="46"/>
      <c r="B86" s="47"/>
      <c r="C86" s="46"/>
      <c r="D86" s="46"/>
      <c r="E86" s="46"/>
      <c r="F86" s="46"/>
      <c r="G86" s="46"/>
      <c r="H86" s="46"/>
      <c r="I86" s="48"/>
      <c r="J86" s="46"/>
      <c r="K86" s="46"/>
      <c r="L86" s="46"/>
      <c r="M86" s="46"/>
      <c r="N86" s="46"/>
      <c r="O86" s="46"/>
      <c r="P86" s="49"/>
      <c r="Q86" s="46"/>
      <c r="R86" s="46"/>
    </row>
    <row r="87" spans="1:18">
      <c r="A87" s="46"/>
      <c r="B87" s="47"/>
      <c r="C87" s="46"/>
      <c r="D87" s="46"/>
      <c r="E87" s="46"/>
      <c r="F87" s="46"/>
      <c r="G87" s="46"/>
      <c r="H87" s="46"/>
      <c r="I87" s="48"/>
      <c r="J87" s="46"/>
      <c r="K87" s="46"/>
      <c r="L87" s="46"/>
      <c r="M87" s="46"/>
      <c r="N87" s="46"/>
      <c r="O87" s="46"/>
      <c r="P87" s="49"/>
      <c r="Q87" s="46"/>
      <c r="R87" s="46"/>
    </row>
    <row r="88" spans="1:18">
      <c r="A88" s="46"/>
      <c r="B88" s="47"/>
      <c r="C88" s="46"/>
      <c r="D88" s="46"/>
      <c r="E88" s="46"/>
      <c r="F88" s="46"/>
      <c r="G88" s="46"/>
      <c r="H88" s="46"/>
      <c r="I88" s="48"/>
      <c r="J88" s="46"/>
      <c r="K88" s="46"/>
      <c r="L88" s="46"/>
      <c r="M88" s="46"/>
      <c r="N88" s="46"/>
      <c r="O88" s="46"/>
      <c r="P88" s="49"/>
      <c r="Q88" s="46"/>
      <c r="R88" s="46"/>
    </row>
    <row r="89" spans="1:18">
      <c r="A89" s="46"/>
      <c r="B89" s="47"/>
      <c r="C89" s="46"/>
      <c r="D89" s="46"/>
      <c r="E89" s="46"/>
      <c r="F89" s="46"/>
      <c r="G89" s="46"/>
      <c r="H89" s="46"/>
      <c r="I89" s="48"/>
      <c r="J89" s="46"/>
      <c r="K89" s="46"/>
      <c r="L89" s="46"/>
      <c r="M89" s="46"/>
      <c r="N89" s="46"/>
      <c r="O89" s="46"/>
      <c r="P89" s="49"/>
      <c r="Q89" s="46"/>
      <c r="R89" s="46"/>
    </row>
    <row r="90" spans="1:18">
      <c r="A90" s="46"/>
      <c r="B90" s="47"/>
      <c r="C90" s="46"/>
      <c r="D90" s="46"/>
      <c r="E90" s="46"/>
      <c r="F90" s="46"/>
      <c r="G90" s="46"/>
      <c r="H90" s="46"/>
      <c r="I90" s="48"/>
      <c r="J90" s="46"/>
      <c r="K90" s="46"/>
      <c r="L90" s="46"/>
      <c r="M90" s="46"/>
      <c r="N90" s="46"/>
      <c r="O90" s="46"/>
      <c r="P90" s="49"/>
      <c r="Q90" s="46"/>
      <c r="R90" s="46"/>
    </row>
    <row r="91" spans="1:18">
      <c r="A91" s="46"/>
      <c r="B91" s="47"/>
      <c r="C91" s="46"/>
      <c r="D91" s="46"/>
      <c r="E91" s="46"/>
      <c r="F91" s="46"/>
      <c r="G91" s="46"/>
      <c r="H91" s="46"/>
      <c r="I91" s="48"/>
      <c r="J91" s="46"/>
      <c r="K91" s="46"/>
      <c r="L91" s="46"/>
      <c r="M91" s="46"/>
      <c r="N91" s="46"/>
      <c r="O91" s="46"/>
      <c r="P91" s="49"/>
      <c r="Q91" s="46"/>
      <c r="R91" s="46"/>
    </row>
    <row r="92" spans="1:18">
      <c r="A92" s="46"/>
      <c r="B92" s="47"/>
      <c r="C92" s="46"/>
      <c r="D92" s="46"/>
      <c r="E92" s="46"/>
      <c r="F92" s="46"/>
      <c r="G92" s="46"/>
      <c r="H92" s="46"/>
      <c r="I92" s="48"/>
      <c r="J92" s="46"/>
      <c r="K92" s="46"/>
      <c r="L92" s="46"/>
      <c r="M92" s="46"/>
      <c r="N92" s="46"/>
      <c r="O92" s="46"/>
      <c r="P92" s="49"/>
      <c r="Q92" s="46"/>
      <c r="R92" s="46"/>
    </row>
    <row r="93" spans="1:18">
      <c r="A93" s="46"/>
      <c r="B93" s="47"/>
      <c r="C93" s="46"/>
      <c r="D93" s="46"/>
      <c r="E93" s="46"/>
      <c r="F93" s="46"/>
      <c r="G93" s="46"/>
      <c r="H93" s="46"/>
      <c r="I93" s="48"/>
      <c r="J93" s="46"/>
      <c r="K93" s="46"/>
      <c r="L93" s="46"/>
      <c r="M93" s="46"/>
      <c r="N93" s="46"/>
      <c r="O93" s="46"/>
      <c r="P93" s="49"/>
      <c r="Q93" s="46"/>
      <c r="R93" s="46"/>
    </row>
    <row r="94" spans="1:18">
      <c r="A94" s="46"/>
      <c r="B94" s="47"/>
      <c r="C94" s="46"/>
      <c r="D94" s="46"/>
      <c r="E94" s="46"/>
      <c r="F94" s="46"/>
      <c r="G94" s="46"/>
      <c r="H94" s="46"/>
      <c r="I94" s="48"/>
      <c r="J94" s="46"/>
      <c r="K94" s="46"/>
      <c r="L94" s="46"/>
      <c r="M94" s="46"/>
      <c r="N94" s="46"/>
      <c r="O94" s="46"/>
      <c r="P94" s="49"/>
      <c r="Q94" s="46"/>
      <c r="R94" s="46"/>
    </row>
    <row r="95" spans="1:18">
      <c r="A95" s="46"/>
      <c r="B95" s="47"/>
      <c r="C95" s="46"/>
      <c r="D95" s="46"/>
      <c r="E95" s="46"/>
      <c r="F95" s="46"/>
      <c r="G95" s="46"/>
      <c r="H95" s="46"/>
      <c r="I95" s="48"/>
      <c r="J95" s="46"/>
      <c r="K95" s="46"/>
      <c r="L95" s="46"/>
      <c r="M95" s="46"/>
      <c r="N95" s="46"/>
      <c r="O95" s="46"/>
      <c r="P95" s="49"/>
      <c r="Q95" s="46"/>
      <c r="R95" s="46"/>
    </row>
    <row r="96" spans="1:18">
      <c r="A96" s="46"/>
      <c r="B96" s="47"/>
      <c r="C96" s="46"/>
      <c r="D96" s="46"/>
      <c r="E96" s="46"/>
      <c r="F96" s="46"/>
      <c r="G96" s="46"/>
      <c r="H96" s="46"/>
      <c r="I96" s="48"/>
      <c r="J96" s="46"/>
      <c r="K96" s="46"/>
      <c r="L96" s="46"/>
      <c r="M96" s="46"/>
      <c r="N96" s="46"/>
      <c r="O96" s="46"/>
      <c r="P96" s="49"/>
      <c r="Q96" s="46"/>
      <c r="R96" s="46"/>
    </row>
    <row r="97" spans="1:18">
      <c r="A97" s="46"/>
      <c r="B97" s="47"/>
      <c r="C97" s="46"/>
      <c r="D97" s="46"/>
      <c r="E97" s="46"/>
      <c r="F97" s="46"/>
      <c r="G97" s="46"/>
      <c r="H97" s="46"/>
      <c r="I97" s="48"/>
      <c r="J97" s="46"/>
      <c r="K97" s="46"/>
      <c r="L97" s="46"/>
      <c r="M97" s="46"/>
      <c r="N97" s="46"/>
      <c r="O97" s="46"/>
      <c r="P97" s="49"/>
      <c r="Q97" s="46"/>
      <c r="R97" s="46"/>
    </row>
    <row r="98" spans="1:18">
      <c r="A98" s="46"/>
      <c r="B98" s="47"/>
      <c r="C98" s="46"/>
      <c r="D98" s="46"/>
      <c r="E98" s="46"/>
      <c r="F98" s="46"/>
      <c r="G98" s="46"/>
      <c r="H98" s="46"/>
      <c r="I98" s="48"/>
      <c r="J98" s="46"/>
      <c r="K98" s="46"/>
      <c r="L98" s="46"/>
      <c r="M98" s="46"/>
      <c r="N98" s="46"/>
      <c r="O98" s="46"/>
      <c r="P98" s="49"/>
      <c r="Q98" s="46"/>
      <c r="R98" s="46"/>
    </row>
    <row r="99" spans="1:18">
      <c r="A99" s="46"/>
      <c r="B99" s="47"/>
      <c r="C99" s="46"/>
      <c r="D99" s="46"/>
      <c r="E99" s="46"/>
      <c r="F99" s="46"/>
      <c r="G99" s="46"/>
      <c r="H99" s="46"/>
      <c r="I99" s="48"/>
      <c r="J99" s="46"/>
      <c r="K99" s="46"/>
      <c r="L99" s="46"/>
      <c r="M99" s="46"/>
      <c r="N99" s="46"/>
      <c r="O99" s="46"/>
      <c r="P99" s="49"/>
      <c r="Q99" s="46"/>
      <c r="R99" s="46"/>
    </row>
    <row r="100" spans="1:18">
      <c r="A100" s="46"/>
      <c r="B100" s="47"/>
      <c r="C100" s="46"/>
      <c r="D100" s="46"/>
      <c r="E100" s="46"/>
      <c r="F100" s="46"/>
      <c r="G100" s="46"/>
      <c r="H100" s="46"/>
      <c r="I100" s="48"/>
      <c r="J100" s="46"/>
      <c r="K100" s="46"/>
      <c r="L100" s="46"/>
      <c r="M100" s="46"/>
      <c r="N100" s="46"/>
      <c r="O100" s="46"/>
      <c r="P100" s="49"/>
      <c r="Q100" s="46"/>
      <c r="R100" s="46"/>
    </row>
  </sheetData>
  <mergeCells count="2">
    <mergeCell ref="A1:R1"/>
    <mergeCell ref="A2:R2"/>
  </mergeCells>
  <dataValidations count="3">
    <dataValidation type="list" sqref="C5:C100" xr:uid="{00000000-0002-0000-1400-000000000000}">
      <formula1>"Alta,Modificación,Inactivación"</formula1>
    </dataValidation>
    <dataValidation type="list" sqref="D5:D100" xr:uid="{00000000-0002-0000-1400-000001000000}">
      <formula1>"Categoría,Subcategoría,Servicio"</formula1>
    </dataValidation>
    <dataValidation type="list" sqref="Q5:Q100" xr:uid="{00000000-0002-0000-1400-000002000000}">
      <formula1>"Solicitado,En revisión,Aprobado,Rechazado,Activo,Inactivo"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4"/>
  <sheetViews>
    <sheetView workbookViewId="0"/>
  </sheetViews>
  <sheetFormatPr baseColWidth="10" defaultColWidth="8.6640625" defaultRowHeight="14"/>
  <cols>
    <col min="1" max="1" width="24" customWidth="1"/>
    <col min="2" max="2" width="28" customWidth="1"/>
    <col min="3" max="3" width="34" customWidth="1"/>
    <col min="4" max="4" width="28" customWidth="1"/>
    <col min="5" max="5" width="34" customWidth="1"/>
    <col min="6" max="6" width="26" customWidth="1"/>
    <col min="7" max="7" width="42" customWidth="1"/>
    <col min="8" max="8" width="46" customWidth="1"/>
  </cols>
  <sheetData>
    <row r="1" spans="1:8" ht="20" customHeight="1">
      <c r="A1" s="57" t="s">
        <v>2094</v>
      </c>
      <c r="B1" s="57"/>
      <c r="C1" s="57"/>
      <c r="D1" s="57"/>
      <c r="E1" s="57"/>
      <c r="F1" s="57"/>
      <c r="G1" s="57"/>
      <c r="H1" s="57"/>
    </row>
    <row r="2" spans="1:8" ht="25.4" customHeight="1">
      <c r="A2" s="58" t="s">
        <v>2095</v>
      </c>
      <c r="B2" s="58"/>
      <c r="C2" s="58"/>
      <c r="D2" s="58"/>
      <c r="E2" s="58"/>
      <c r="F2" s="58"/>
      <c r="G2" s="58"/>
      <c r="H2" s="58"/>
    </row>
    <row r="4" spans="1:8" ht="24" customHeight="1">
      <c r="A4" s="52" t="s">
        <v>2096</v>
      </c>
      <c r="B4" s="52" t="s">
        <v>2097</v>
      </c>
      <c r="C4" s="52" t="s">
        <v>2098</v>
      </c>
      <c r="D4" s="52" t="s">
        <v>2099</v>
      </c>
      <c r="E4" s="52" t="s">
        <v>1326</v>
      </c>
      <c r="F4" s="52" t="s">
        <v>384</v>
      </c>
      <c r="G4" s="52" t="s">
        <v>2100</v>
      </c>
      <c r="H4" s="52" t="s">
        <v>2</v>
      </c>
    </row>
    <row r="5" spans="1:8" ht="42">
      <c r="A5" s="3" t="s">
        <v>2101</v>
      </c>
      <c r="B5" s="3" t="s">
        <v>2102</v>
      </c>
      <c r="C5" s="3" t="s">
        <v>1140</v>
      </c>
      <c r="D5" s="3" t="s">
        <v>2103</v>
      </c>
      <c r="E5" s="3" t="s">
        <v>2104</v>
      </c>
      <c r="F5" s="3" t="s">
        <v>2105</v>
      </c>
      <c r="G5" s="3" t="s">
        <v>2106</v>
      </c>
      <c r="H5" s="3" t="s">
        <v>2107</v>
      </c>
    </row>
    <row r="6" spans="1:8" ht="42">
      <c r="A6" s="3" t="s">
        <v>2108</v>
      </c>
      <c r="B6" s="3" t="s">
        <v>2109</v>
      </c>
      <c r="C6" s="3" t="s">
        <v>2110</v>
      </c>
      <c r="D6" s="3" t="s">
        <v>2111</v>
      </c>
      <c r="E6" s="3" t="s">
        <v>2112</v>
      </c>
      <c r="F6" s="3" t="s">
        <v>2113</v>
      </c>
      <c r="G6" s="3" t="s">
        <v>2114</v>
      </c>
      <c r="H6" s="3" t="s">
        <v>2115</v>
      </c>
    </row>
    <row r="7" spans="1:8" ht="42">
      <c r="A7" s="3" t="s">
        <v>2116</v>
      </c>
      <c r="B7" s="3" t="s">
        <v>2117</v>
      </c>
      <c r="C7" s="3" t="s">
        <v>2118</v>
      </c>
      <c r="D7" s="3" t="s">
        <v>2119</v>
      </c>
      <c r="E7" s="3" t="s">
        <v>2120</v>
      </c>
      <c r="F7" s="3" t="s">
        <v>1956</v>
      </c>
      <c r="G7" s="3" t="s">
        <v>2121</v>
      </c>
      <c r="H7" s="3" t="s">
        <v>2122</v>
      </c>
    </row>
    <row r="8" spans="1:8" ht="28">
      <c r="A8" s="3" t="s">
        <v>2123</v>
      </c>
      <c r="B8" s="3" t="s">
        <v>2124</v>
      </c>
      <c r="C8" s="3" t="s">
        <v>1135</v>
      </c>
      <c r="D8" s="3" t="s">
        <v>2125</v>
      </c>
      <c r="E8" s="3" t="s">
        <v>2126</v>
      </c>
      <c r="F8" s="3" t="s">
        <v>2127</v>
      </c>
      <c r="G8" s="3" t="s">
        <v>2128</v>
      </c>
      <c r="H8" s="3" t="s">
        <v>2129</v>
      </c>
    </row>
    <row r="9" spans="1:8" ht="28">
      <c r="A9" s="3" t="s">
        <v>2130</v>
      </c>
      <c r="B9" s="3" t="s">
        <v>2131</v>
      </c>
      <c r="C9" s="3" t="s">
        <v>1135</v>
      </c>
      <c r="D9" s="3" t="s">
        <v>2132</v>
      </c>
      <c r="E9" s="3" t="s">
        <v>1489</v>
      </c>
      <c r="F9" s="3" t="s">
        <v>1389</v>
      </c>
      <c r="G9" s="3" t="s">
        <v>2133</v>
      </c>
      <c r="H9" s="3" t="s">
        <v>2134</v>
      </c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 ht="24" customHeight="1">
      <c r="A12" s="52" t="s">
        <v>1934</v>
      </c>
      <c r="B12" s="52" t="s">
        <v>2135</v>
      </c>
      <c r="C12" s="52" t="s">
        <v>2136</v>
      </c>
      <c r="D12" s="52" t="s">
        <v>2137</v>
      </c>
      <c r="E12" s="52" t="s">
        <v>1200</v>
      </c>
      <c r="F12" s="52" t="s">
        <v>2138</v>
      </c>
      <c r="G12" s="52" t="s">
        <v>2139</v>
      </c>
      <c r="H12" s="52" t="s">
        <v>1216</v>
      </c>
    </row>
    <row r="13" spans="1:8" ht="28">
      <c r="A13" s="3">
        <v>1</v>
      </c>
      <c r="B13" s="3" t="s">
        <v>2140</v>
      </c>
      <c r="C13" s="3" t="s">
        <v>2141</v>
      </c>
      <c r="D13" s="3" t="s">
        <v>2142</v>
      </c>
      <c r="E13" s="3" t="s">
        <v>2143</v>
      </c>
      <c r="F13" s="3" t="s">
        <v>2144</v>
      </c>
      <c r="G13" s="3" t="s">
        <v>2145</v>
      </c>
      <c r="H13" s="3" t="s">
        <v>2146</v>
      </c>
    </row>
    <row r="14" spans="1:8" ht="28">
      <c r="A14" s="3">
        <v>2</v>
      </c>
      <c r="B14" s="3" t="s">
        <v>2147</v>
      </c>
      <c r="C14" s="3" t="s">
        <v>2148</v>
      </c>
      <c r="D14" s="3" t="s">
        <v>2149</v>
      </c>
      <c r="E14" s="3" t="s">
        <v>2150</v>
      </c>
      <c r="F14" s="3" t="s">
        <v>2055</v>
      </c>
      <c r="G14" s="3" t="s">
        <v>2151</v>
      </c>
      <c r="H14" s="3" t="s">
        <v>2152</v>
      </c>
    </row>
    <row r="15" spans="1:8" ht="28">
      <c r="A15" s="3">
        <v>3</v>
      </c>
      <c r="B15" s="3" t="s">
        <v>2153</v>
      </c>
      <c r="C15" s="3" t="s">
        <v>2154</v>
      </c>
      <c r="D15" s="3" t="s">
        <v>2155</v>
      </c>
      <c r="E15" s="3" t="s">
        <v>2156</v>
      </c>
      <c r="F15" s="3" t="s">
        <v>60</v>
      </c>
      <c r="G15" s="3" t="s">
        <v>2157</v>
      </c>
      <c r="H15" s="3" t="s">
        <v>2158</v>
      </c>
    </row>
    <row r="16" spans="1:8" ht="42">
      <c r="A16" s="3">
        <v>4</v>
      </c>
      <c r="B16" s="3" t="s">
        <v>2159</v>
      </c>
      <c r="C16" s="3" t="s">
        <v>2160</v>
      </c>
      <c r="D16" s="3" t="s">
        <v>2161</v>
      </c>
      <c r="E16" s="3" t="s">
        <v>2162</v>
      </c>
      <c r="F16" s="3" t="s">
        <v>60</v>
      </c>
      <c r="G16" s="3" t="s">
        <v>2163</v>
      </c>
      <c r="H16" s="3" t="s">
        <v>2164</v>
      </c>
    </row>
    <row r="17" spans="1:8" ht="28">
      <c r="A17" s="3">
        <v>5</v>
      </c>
      <c r="B17" s="3" t="s">
        <v>2165</v>
      </c>
      <c r="C17" s="3" t="s">
        <v>2166</v>
      </c>
      <c r="D17" s="3" t="s">
        <v>2167</v>
      </c>
      <c r="E17" s="3" t="s">
        <v>2168</v>
      </c>
      <c r="F17" s="3" t="s">
        <v>2169</v>
      </c>
      <c r="G17" s="3" t="s">
        <v>2170</v>
      </c>
      <c r="H17" s="3" t="s">
        <v>2164</v>
      </c>
    </row>
    <row r="18" spans="1:8" ht="28">
      <c r="A18" s="3">
        <v>6</v>
      </c>
      <c r="B18" s="3" t="s">
        <v>2171</v>
      </c>
      <c r="C18" s="3" t="s">
        <v>2172</v>
      </c>
      <c r="D18" s="3" t="s">
        <v>2173</v>
      </c>
      <c r="E18" s="3" t="s">
        <v>2174</v>
      </c>
      <c r="F18" s="3" t="s">
        <v>2175</v>
      </c>
      <c r="G18" s="3" t="s">
        <v>2176</v>
      </c>
      <c r="H18" s="3" t="s">
        <v>2177</v>
      </c>
    </row>
    <row r="19" spans="1:8" ht="28">
      <c r="A19" s="3">
        <v>7</v>
      </c>
      <c r="B19" s="3" t="s">
        <v>2178</v>
      </c>
      <c r="C19" s="3" t="s">
        <v>2179</v>
      </c>
      <c r="D19" s="3" t="s">
        <v>2180</v>
      </c>
      <c r="E19" s="3" t="s">
        <v>2181</v>
      </c>
      <c r="F19" s="3" t="s">
        <v>2182</v>
      </c>
      <c r="G19" s="3" t="s">
        <v>2183</v>
      </c>
      <c r="H19" s="3" t="s">
        <v>1099</v>
      </c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 ht="24" customHeight="1">
      <c r="A22" s="52" t="s">
        <v>18</v>
      </c>
      <c r="B22" s="52" t="s">
        <v>2184</v>
      </c>
      <c r="C22" s="52" t="s">
        <v>2185</v>
      </c>
      <c r="D22" s="52" t="s">
        <v>2186</v>
      </c>
      <c r="E22" s="52" t="s">
        <v>2187</v>
      </c>
      <c r="F22" s="52" t="s">
        <v>2188</v>
      </c>
      <c r="G22" s="52" t="s">
        <v>41</v>
      </c>
      <c r="H22" s="52" t="s">
        <v>1128</v>
      </c>
    </row>
    <row r="23" spans="1:8">
      <c r="A23" s="3" t="s">
        <v>2189</v>
      </c>
      <c r="B23" s="3" t="s">
        <v>2190</v>
      </c>
      <c r="C23" s="3" t="s">
        <v>64</v>
      </c>
      <c r="D23" s="3" t="s">
        <v>1135</v>
      </c>
      <c r="E23" s="3" t="s">
        <v>2191</v>
      </c>
      <c r="F23" s="3" t="s">
        <v>2192</v>
      </c>
      <c r="G23" s="3" t="s">
        <v>81</v>
      </c>
      <c r="H23" s="3" t="s">
        <v>2193</v>
      </c>
    </row>
    <row r="24" spans="1:8" ht="28">
      <c r="A24" s="3" t="s">
        <v>2194</v>
      </c>
      <c r="B24" s="3" t="s">
        <v>2195</v>
      </c>
      <c r="C24" s="3" t="s">
        <v>64</v>
      </c>
      <c r="D24" s="3" t="s">
        <v>2196</v>
      </c>
      <c r="E24" s="3" t="s">
        <v>2197</v>
      </c>
      <c r="F24" s="3" t="s">
        <v>2198</v>
      </c>
      <c r="G24" s="3" t="s">
        <v>45</v>
      </c>
      <c r="H24" s="3" t="s">
        <v>2199</v>
      </c>
    </row>
    <row r="25" spans="1:8" ht="28">
      <c r="A25" s="3" t="s">
        <v>2200</v>
      </c>
      <c r="B25" s="3" t="s">
        <v>2201</v>
      </c>
      <c r="C25" s="3" t="s">
        <v>64</v>
      </c>
      <c r="D25" s="3" t="s">
        <v>2196</v>
      </c>
      <c r="E25" s="3" t="s">
        <v>2197</v>
      </c>
      <c r="F25" s="3" t="s">
        <v>1249</v>
      </c>
      <c r="G25" s="3" t="s">
        <v>45</v>
      </c>
      <c r="H25" s="3" t="s">
        <v>2202</v>
      </c>
    </row>
    <row r="26" spans="1:8" ht="28">
      <c r="A26" s="3" t="s">
        <v>37</v>
      </c>
      <c r="B26" s="3" t="s">
        <v>2203</v>
      </c>
      <c r="C26" s="3" t="s">
        <v>64</v>
      </c>
      <c r="D26" s="3" t="s">
        <v>2204</v>
      </c>
      <c r="E26" s="3" t="s">
        <v>2205</v>
      </c>
      <c r="F26" s="3" t="s">
        <v>2206</v>
      </c>
      <c r="G26" s="3" t="s">
        <v>45</v>
      </c>
      <c r="H26" s="3" t="s">
        <v>2207</v>
      </c>
    </row>
    <row r="27" spans="1:8" ht="28">
      <c r="A27" s="3" t="s">
        <v>42</v>
      </c>
      <c r="B27" s="3" t="s">
        <v>2208</v>
      </c>
      <c r="C27" s="3" t="s">
        <v>24</v>
      </c>
      <c r="D27" s="3" t="s">
        <v>2196</v>
      </c>
      <c r="E27" s="3" t="s">
        <v>2209</v>
      </c>
      <c r="F27" s="3" t="s">
        <v>2210</v>
      </c>
      <c r="G27" s="3" t="s">
        <v>45</v>
      </c>
      <c r="H27" s="3" t="s">
        <v>2211</v>
      </c>
    </row>
    <row r="28" spans="1:8" ht="28">
      <c r="A28" s="3" t="s">
        <v>2212</v>
      </c>
      <c r="B28" s="3" t="s">
        <v>2213</v>
      </c>
      <c r="C28" s="3" t="s">
        <v>60</v>
      </c>
      <c r="D28" s="3" t="s">
        <v>1140</v>
      </c>
      <c r="E28" s="3" t="s">
        <v>2214</v>
      </c>
      <c r="F28" s="3" t="s">
        <v>14</v>
      </c>
      <c r="G28" s="3" t="s">
        <v>81</v>
      </c>
      <c r="H28" s="3" t="s">
        <v>2215</v>
      </c>
    </row>
    <row r="29" spans="1:8">
      <c r="A29" s="3" t="s">
        <v>2216</v>
      </c>
      <c r="B29" s="3" t="s">
        <v>2217</v>
      </c>
      <c r="C29" s="3" t="s">
        <v>2169</v>
      </c>
      <c r="D29" s="3" t="s">
        <v>1140</v>
      </c>
      <c r="E29" s="3" t="s">
        <v>2218</v>
      </c>
      <c r="F29" s="3" t="s">
        <v>2219</v>
      </c>
      <c r="G29" s="3" t="s">
        <v>81</v>
      </c>
      <c r="H29" s="3" t="s">
        <v>2220</v>
      </c>
    </row>
    <row r="30" spans="1:8">
      <c r="A30" s="3" t="s">
        <v>2221</v>
      </c>
      <c r="B30" s="3" t="s">
        <v>2222</v>
      </c>
      <c r="C30" s="3" t="s">
        <v>2169</v>
      </c>
      <c r="D30" s="3" t="s">
        <v>1140</v>
      </c>
      <c r="E30" s="3" t="s">
        <v>2223</v>
      </c>
      <c r="F30" s="3" t="s">
        <v>1627</v>
      </c>
      <c r="G30" s="3" t="s">
        <v>45</v>
      </c>
      <c r="H30" s="3" t="s">
        <v>2224</v>
      </c>
    </row>
    <row r="31" spans="1:8" ht="28">
      <c r="A31" s="3" t="s">
        <v>2225</v>
      </c>
      <c r="B31" s="3" t="s">
        <v>2226</v>
      </c>
      <c r="C31" s="3" t="s">
        <v>2227</v>
      </c>
      <c r="D31" s="3" t="s">
        <v>1140</v>
      </c>
      <c r="E31" s="3" t="s">
        <v>2228</v>
      </c>
      <c r="F31" s="3" t="s">
        <v>2229</v>
      </c>
      <c r="G31" s="3" t="s">
        <v>45</v>
      </c>
      <c r="H31" s="3" t="s">
        <v>2230</v>
      </c>
    </row>
    <row r="32" spans="1:8">
      <c r="A32" s="3" t="s">
        <v>2231</v>
      </c>
      <c r="B32" s="3" t="s">
        <v>2232</v>
      </c>
      <c r="C32" s="3" t="s">
        <v>2233</v>
      </c>
      <c r="D32" s="3" t="s">
        <v>1135</v>
      </c>
      <c r="E32" s="3" t="s">
        <v>2191</v>
      </c>
      <c r="F32" s="3" t="s">
        <v>2234</v>
      </c>
      <c r="G32" s="3" t="s">
        <v>81</v>
      </c>
      <c r="H32" s="3" t="s">
        <v>2235</v>
      </c>
    </row>
    <row r="33" spans="1:8">
      <c r="A33" s="3" t="s">
        <v>22</v>
      </c>
      <c r="B33" s="3" t="s">
        <v>2236</v>
      </c>
      <c r="C33" s="3" t="s">
        <v>2169</v>
      </c>
      <c r="D33" s="3" t="s">
        <v>2196</v>
      </c>
      <c r="E33" s="3" t="s">
        <v>2237</v>
      </c>
      <c r="F33" s="3" t="s">
        <v>1708</v>
      </c>
      <c r="G33" s="3" t="s">
        <v>81</v>
      </c>
      <c r="H33" s="3" t="s">
        <v>2238</v>
      </c>
    </row>
    <row r="34" spans="1:8" ht="28">
      <c r="A34" s="3" t="s">
        <v>26</v>
      </c>
      <c r="B34" s="3" t="s">
        <v>2239</v>
      </c>
      <c r="C34" s="3" t="s">
        <v>28</v>
      </c>
      <c r="D34" s="3" t="s">
        <v>1135</v>
      </c>
      <c r="E34" s="3" t="s">
        <v>2191</v>
      </c>
      <c r="F34" s="3" t="s">
        <v>2240</v>
      </c>
      <c r="G34" s="3" t="s">
        <v>45</v>
      </c>
      <c r="H34" s="3" t="s">
        <v>2241</v>
      </c>
    </row>
    <row r="35" spans="1:8" ht="28">
      <c r="A35" s="3" t="s">
        <v>33</v>
      </c>
      <c r="B35" s="3" t="s">
        <v>2242</v>
      </c>
      <c r="C35" s="3" t="s">
        <v>60</v>
      </c>
      <c r="D35" s="3" t="s">
        <v>1140</v>
      </c>
      <c r="E35" s="3" t="s">
        <v>2243</v>
      </c>
      <c r="F35" s="3" t="s">
        <v>2244</v>
      </c>
      <c r="G35" s="3" t="s">
        <v>45</v>
      </c>
      <c r="H35" s="3" t="s">
        <v>2245</v>
      </c>
    </row>
    <row r="36" spans="1:8" ht="28">
      <c r="A36" s="3" t="s">
        <v>48</v>
      </c>
      <c r="B36" s="3" t="s">
        <v>2246</v>
      </c>
      <c r="C36" s="3" t="s">
        <v>24</v>
      </c>
      <c r="D36" s="3" t="s">
        <v>1140</v>
      </c>
      <c r="E36" s="3" t="s">
        <v>2247</v>
      </c>
      <c r="F36" s="3" t="s">
        <v>2248</v>
      </c>
      <c r="G36" s="3" t="s">
        <v>45</v>
      </c>
      <c r="H36" s="3" t="s">
        <v>2249</v>
      </c>
    </row>
    <row r="37" spans="1:8" ht="28">
      <c r="A37" s="3" t="s">
        <v>51</v>
      </c>
      <c r="B37" s="3" t="s">
        <v>2250</v>
      </c>
      <c r="C37" s="3" t="s">
        <v>2233</v>
      </c>
      <c r="D37" s="3" t="s">
        <v>1135</v>
      </c>
      <c r="E37" s="3" t="s">
        <v>2191</v>
      </c>
      <c r="F37" s="3" t="s">
        <v>2251</v>
      </c>
      <c r="G37" s="3" t="s">
        <v>81</v>
      </c>
      <c r="H37" s="3" t="s">
        <v>2252</v>
      </c>
    </row>
    <row r="38" spans="1:8" ht="28">
      <c r="A38" s="3" t="s">
        <v>55</v>
      </c>
      <c r="B38" s="3" t="s">
        <v>2253</v>
      </c>
      <c r="C38" s="3" t="s">
        <v>64</v>
      </c>
      <c r="D38" s="3" t="s">
        <v>1135</v>
      </c>
      <c r="E38" s="3" t="s">
        <v>2191</v>
      </c>
      <c r="F38" s="3" t="s">
        <v>2254</v>
      </c>
      <c r="G38" s="3" t="s">
        <v>45</v>
      </c>
      <c r="H38" s="3" t="s">
        <v>2255</v>
      </c>
    </row>
    <row r="39" spans="1:8" ht="28">
      <c r="A39" s="3" t="s">
        <v>58</v>
      </c>
      <c r="B39" s="3" t="s">
        <v>2256</v>
      </c>
      <c r="C39" s="3" t="s">
        <v>60</v>
      </c>
      <c r="D39" s="3" t="s">
        <v>1140</v>
      </c>
      <c r="E39" s="3" t="s">
        <v>2257</v>
      </c>
      <c r="F39" s="3" t="s">
        <v>2258</v>
      </c>
      <c r="G39" s="3" t="s">
        <v>45</v>
      </c>
      <c r="H39" s="3" t="s">
        <v>2259</v>
      </c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 ht="24" customHeight="1">
      <c r="A42" s="52" t="s">
        <v>2260</v>
      </c>
      <c r="B42" s="52" t="s">
        <v>1591</v>
      </c>
      <c r="C42" s="52" t="s">
        <v>378</v>
      </c>
      <c r="D42" s="52" t="s">
        <v>2261</v>
      </c>
      <c r="E42" s="52" t="s">
        <v>2262</v>
      </c>
      <c r="F42" s="52" t="s">
        <v>1940</v>
      </c>
      <c r="G42" s="52" t="s">
        <v>2263</v>
      </c>
      <c r="H42" s="52" t="s">
        <v>2264</v>
      </c>
    </row>
    <row r="43" spans="1:8" ht="28">
      <c r="A43" s="3" t="s">
        <v>2265</v>
      </c>
      <c r="B43" s="3" t="s">
        <v>1590</v>
      </c>
      <c r="C43" s="3" t="s">
        <v>819</v>
      </c>
      <c r="D43" s="3" t="s">
        <v>2266</v>
      </c>
      <c r="E43" s="3" t="s">
        <v>48</v>
      </c>
      <c r="F43" s="3" t="s">
        <v>2267</v>
      </c>
      <c r="G43" s="3" t="s">
        <v>2268</v>
      </c>
      <c r="H43" s="3" t="s">
        <v>2269</v>
      </c>
    </row>
    <row r="44" spans="1:8" ht="28">
      <c r="A44" s="3" t="s">
        <v>2270</v>
      </c>
      <c r="B44" s="3" t="s">
        <v>1878</v>
      </c>
      <c r="C44" s="3" t="s">
        <v>420</v>
      </c>
      <c r="D44" s="3" t="s">
        <v>2271</v>
      </c>
      <c r="E44" s="3" t="s">
        <v>48</v>
      </c>
      <c r="F44" s="3" t="s">
        <v>2272</v>
      </c>
      <c r="G44" s="3" t="s">
        <v>2273</v>
      </c>
      <c r="H44" s="3" t="s">
        <v>2274</v>
      </c>
    </row>
    <row r="45" spans="1:8">
      <c r="A45" s="3" t="s">
        <v>2275</v>
      </c>
      <c r="B45" s="3" t="s">
        <v>1521</v>
      </c>
      <c r="C45" s="3" t="s">
        <v>2276</v>
      </c>
      <c r="D45" s="3" t="s">
        <v>2277</v>
      </c>
      <c r="E45" s="3" t="s">
        <v>48</v>
      </c>
      <c r="F45" s="3" t="s">
        <v>2278</v>
      </c>
      <c r="G45" s="3" t="s">
        <v>2279</v>
      </c>
      <c r="H45" s="3" t="s">
        <v>2280</v>
      </c>
    </row>
    <row r="46" spans="1:8" ht="28">
      <c r="A46" s="3" t="s">
        <v>2281</v>
      </c>
      <c r="B46" s="3" t="s">
        <v>2282</v>
      </c>
      <c r="C46" s="3" t="s">
        <v>2283</v>
      </c>
      <c r="D46" s="3" t="s">
        <v>2284</v>
      </c>
      <c r="E46" s="3" t="s">
        <v>58</v>
      </c>
      <c r="F46" s="3" t="s">
        <v>2285</v>
      </c>
      <c r="G46" s="3" t="s">
        <v>2286</v>
      </c>
      <c r="H46" s="3" t="s">
        <v>2287</v>
      </c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/>
      <c r="B48" s="3"/>
      <c r="C48" s="3"/>
      <c r="D48" s="3"/>
      <c r="E48" s="3"/>
      <c r="F48" s="3"/>
      <c r="G48" s="3"/>
      <c r="H48" s="3"/>
    </row>
    <row r="49" spans="1:8" ht="24" customHeight="1">
      <c r="A49" s="79" t="s">
        <v>2288</v>
      </c>
      <c r="B49" s="79"/>
      <c r="C49" s="79"/>
      <c r="D49" s="79"/>
      <c r="E49" s="79"/>
      <c r="F49" s="79"/>
      <c r="G49" s="79"/>
      <c r="H49" s="79"/>
    </row>
    <row r="50" spans="1:8">
      <c r="A50" s="3"/>
      <c r="B50" s="3"/>
      <c r="C50" s="3"/>
      <c r="D50" s="3"/>
      <c r="E50" s="3"/>
      <c r="F50" s="3"/>
      <c r="G50" s="3"/>
      <c r="H50" s="3"/>
    </row>
    <row r="51" spans="1:8">
      <c r="A51" s="3"/>
      <c r="B51" s="3"/>
      <c r="C51" s="3"/>
      <c r="D51" s="3"/>
      <c r="E51" s="3"/>
      <c r="F51" s="3"/>
      <c r="G51" s="3"/>
      <c r="H51" s="3"/>
    </row>
    <row r="52" spans="1:8">
      <c r="A52" s="3"/>
      <c r="B52" s="3"/>
      <c r="C52" s="3"/>
      <c r="D52" s="3"/>
      <c r="E52" s="3"/>
      <c r="F52" s="3"/>
      <c r="G52" s="3"/>
      <c r="H52" s="3"/>
    </row>
    <row r="53" spans="1:8">
      <c r="A53" s="3"/>
      <c r="B53" s="3"/>
      <c r="C53" s="3"/>
      <c r="D53" s="3"/>
      <c r="E53" s="3"/>
      <c r="F53" s="3"/>
      <c r="G53" s="3"/>
      <c r="H53" s="3"/>
    </row>
    <row r="54" spans="1:8">
      <c r="A54" s="3"/>
      <c r="B54" s="3"/>
      <c r="C54" s="3"/>
      <c r="D54" s="3"/>
      <c r="E54" s="3"/>
      <c r="F54" s="3"/>
      <c r="G54" s="3"/>
      <c r="H54" s="3"/>
    </row>
    <row r="55" spans="1:8">
      <c r="A55" s="3"/>
      <c r="B55" s="3"/>
      <c r="C55" s="3"/>
      <c r="D55" s="3"/>
      <c r="E55" s="3"/>
      <c r="F55" s="3"/>
      <c r="G55" s="3"/>
      <c r="H55" s="3"/>
    </row>
    <row r="56" spans="1:8">
      <c r="A56" s="3"/>
      <c r="B56" s="3"/>
      <c r="C56" s="3"/>
      <c r="D56" s="3"/>
      <c r="E56" s="3"/>
      <c r="F56" s="3"/>
      <c r="G56" s="3"/>
      <c r="H56" s="3"/>
    </row>
    <row r="57" spans="1:8">
      <c r="A57" s="3"/>
      <c r="B57" s="3"/>
      <c r="C57" s="3"/>
      <c r="D57" s="3"/>
      <c r="E57" s="3"/>
      <c r="F57" s="3"/>
      <c r="G57" s="3"/>
      <c r="H57" s="3"/>
    </row>
    <row r="58" spans="1:8" ht="25.4" customHeight="1">
      <c r="A58" s="80" t="s">
        <v>2289</v>
      </c>
      <c r="B58" s="80"/>
      <c r="C58" s="80"/>
      <c r="D58" s="80"/>
      <c r="E58" s="80"/>
      <c r="F58" s="80"/>
      <c r="G58" s="80"/>
      <c r="H58" s="80"/>
    </row>
    <row r="59" spans="1:8">
      <c r="A59" s="3"/>
      <c r="B59" s="3"/>
      <c r="C59" s="3"/>
      <c r="D59" s="3"/>
      <c r="E59" s="3"/>
      <c r="F59" s="3"/>
      <c r="G59" s="3"/>
      <c r="H59" s="3"/>
    </row>
    <row r="60" spans="1:8" ht="24" customHeight="1">
      <c r="A60" s="53" t="s">
        <v>2290</v>
      </c>
      <c r="B60" s="53" t="s">
        <v>2291</v>
      </c>
      <c r="C60" s="53" t="s">
        <v>2292</v>
      </c>
      <c r="D60" s="53" t="s">
        <v>1326</v>
      </c>
      <c r="E60" s="53" t="s">
        <v>2293</v>
      </c>
      <c r="F60" s="53" t="s">
        <v>2294</v>
      </c>
      <c r="G60" s="53" t="s">
        <v>2295</v>
      </c>
      <c r="H60" s="53" t="s">
        <v>2</v>
      </c>
    </row>
    <row r="61" spans="1:8">
      <c r="A61" s="3" t="s">
        <v>2296</v>
      </c>
      <c r="B61" s="3" t="s">
        <v>1389</v>
      </c>
      <c r="C61" s="3" t="s">
        <v>2113</v>
      </c>
      <c r="D61" s="3" t="s">
        <v>2297</v>
      </c>
      <c r="E61" s="3" t="s">
        <v>1135</v>
      </c>
      <c r="F61" s="3" t="s">
        <v>2298</v>
      </c>
      <c r="G61" s="3" t="s">
        <v>2299</v>
      </c>
      <c r="H61" s="3" t="s">
        <v>2300</v>
      </c>
    </row>
    <row r="62" spans="1:8">
      <c r="A62" s="3" t="s">
        <v>137</v>
      </c>
      <c r="B62" s="3" t="s">
        <v>2301</v>
      </c>
      <c r="C62" s="3" t="s">
        <v>2302</v>
      </c>
      <c r="D62" s="3" t="s">
        <v>69</v>
      </c>
      <c r="E62" s="3" t="s">
        <v>2303</v>
      </c>
      <c r="F62" s="3" t="s">
        <v>2304</v>
      </c>
      <c r="G62" s="3" t="s">
        <v>2305</v>
      </c>
      <c r="H62" s="3" t="s">
        <v>2306</v>
      </c>
    </row>
    <row r="63" spans="1:8">
      <c r="A63" s="3" t="s">
        <v>138</v>
      </c>
      <c r="B63" s="3" t="s">
        <v>2301</v>
      </c>
      <c r="C63" s="3" t="s">
        <v>2302</v>
      </c>
      <c r="D63" s="3" t="s">
        <v>355</v>
      </c>
      <c r="E63" s="3" t="s">
        <v>2303</v>
      </c>
      <c r="F63" s="3" t="s">
        <v>2304</v>
      </c>
      <c r="G63" s="3" t="s">
        <v>2307</v>
      </c>
      <c r="H63" s="3" t="s">
        <v>2306</v>
      </c>
    </row>
    <row r="64" spans="1:8">
      <c r="A64" s="3" t="s">
        <v>378</v>
      </c>
      <c r="B64" s="3" t="s">
        <v>2308</v>
      </c>
      <c r="C64" s="3" t="s">
        <v>2302</v>
      </c>
      <c r="D64" s="3" t="s">
        <v>819</v>
      </c>
      <c r="E64" s="3" t="s">
        <v>1135</v>
      </c>
      <c r="F64" s="3" t="s">
        <v>2309</v>
      </c>
      <c r="G64" s="3" t="s">
        <v>2310</v>
      </c>
      <c r="H64" s="3" t="s">
        <v>2311</v>
      </c>
    </row>
  </sheetData>
  <mergeCells count="4">
    <mergeCell ref="A1:H1"/>
    <mergeCell ref="A2:H2"/>
    <mergeCell ref="A49:H49"/>
    <mergeCell ref="A58:H5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60"/>
  <sheetViews>
    <sheetView workbookViewId="0"/>
  </sheetViews>
  <sheetFormatPr baseColWidth="10" defaultColWidth="8.6640625" defaultRowHeight="14"/>
  <cols>
    <col min="1" max="1" width="24" customWidth="1"/>
    <col min="2" max="2" width="38" customWidth="1"/>
    <col min="3" max="5" width="24" customWidth="1"/>
    <col min="6" max="6" width="16" customWidth="1"/>
    <col min="7" max="8" width="30" customWidth="1"/>
    <col min="9" max="9" width="38" customWidth="1"/>
    <col min="10" max="10" width="24" customWidth="1"/>
    <col min="11" max="12" width="22" customWidth="1"/>
    <col min="13" max="13" width="14" customWidth="1"/>
    <col min="14" max="14" width="40" customWidth="1"/>
  </cols>
  <sheetData>
    <row r="1" spans="1:14" ht="20" customHeight="1">
      <c r="A1" s="69" t="s">
        <v>2312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25.4" customHeight="1">
      <c r="A2" s="81" t="s">
        <v>2313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4" spans="1:14" ht="24" customHeight="1">
      <c r="A4" s="53" t="s">
        <v>1104</v>
      </c>
      <c r="B4" s="53" t="s">
        <v>2314</v>
      </c>
      <c r="C4" s="53" t="s">
        <v>2315</v>
      </c>
      <c r="D4" s="53" t="s">
        <v>2316</v>
      </c>
      <c r="E4" s="53" t="s">
        <v>1326</v>
      </c>
      <c r="F4" s="53" t="s">
        <v>2186</v>
      </c>
      <c r="G4" s="53" t="s">
        <v>2317</v>
      </c>
      <c r="H4" s="53" t="s">
        <v>2318</v>
      </c>
      <c r="I4" s="53" t="s">
        <v>2</v>
      </c>
      <c r="J4" s="53" t="s">
        <v>2319</v>
      </c>
      <c r="K4" s="53" t="s">
        <v>2320</v>
      </c>
      <c r="L4" s="53" t="s">
        <v>1394</v>
      </c>
      <c r="M4" s="53" t="s">
        <v>75</v>
      </c>
      <c r="N4" s="53" t="s">
        <v>2321</v>
      </c>
    </row>
    <row r="5" spans="1:14" ht="28">
      <c r="A5" s="3" t="s">
        <v>2322</v>
      </c>
      <c r="B5" s="3" t="s">
        <v>2323</v>
      </c>
      <c r="C5" s="3" t="s">
        <v>1389</v>
      </c>
      <c r="D5" s="3" t="s">
        <v>2324</v>
      </c>
      <c r="E5" s="3" t="s">
        <v>2325</v>
      </c>
      <c r="F5" s="3" t="s">
        <v>1135</v>
      </c>
      <c r="G5" s="3" t="s">
        <v>2326</v>
      </c>
      <c r="H5" s="3" t="s">
        <v>2327</v>
      </c>
      <c r="I5" s="3" t="s">
        <v>2328</v>
      </c>
      <c r="J5" s="3" t="s">
        <v>1370</v>
      </c>
      <c r="K5" s="3" t="s">
        <v>2329</v>
      </c>
      <c r="L5" s="3" t="s">
        <v>2330</v>
      </c>
      <c r="M5" s="3" t="s">
        <v>45</v>
      </c>
      <c r="N5" s="3" t="s">
        <v>2331</v>
      </c>
    </row>
    <row r="6" spans="1:14" ht="28">
      <c r="A6" s="3" t="s">
        <v>2332</v>
      </c>
      <c r="B6" s="3" t="s">
        <v>2333</v>
      </c>
      <c r="C6" s="3" t="s">
        <v>2301</v>
      </c>
      <c r="D6" s="3" t="s">
        <v>1894</v>
      </c>
      <c r="E6" s="3" t="s">
        <v>69</v>
      </c>
      <c r="F6" s="3" t="s">
        <v>2303</v>
      </c>
      <c r="G6" s="3" t="s">
        <v>2334</v>
      </c>
      <c r="H6" s="3" t="s">
        <v>2335</v>
      </c>
      <c r="I6" s="3" t="s">
        <v>2336</v>
      </c>
      <c r="J6" s="3" t="s">
        <v>1353</v>
      </c>
      <c r="K6" s="3" t="s">
        <v>2337</v>
      </c>
      <c r="L6" s="3" t="s">
        <v>2338</v>
      </c>
      <c r="M6" s="3" t="s">
        <v>45</v>
      </c>
      <c r="N6" s="3" t="s">
        <v>2339</v>
      </c>
    </row>
    <row r="7" spans="1:14" ht="28">
      <c r="A7" s="3" t="s">
        <v>2340</v>
      </c>
      <c r="B7" s="3" t="s">
        <v>2341</v>
      </c>
      <c r="C7" s="3" t="s">
        <v>2301</v>
      </c>
      <c r="D7" s="3" t="s">
        <v>1894</v>
      </c>
      <c r="E7" s="3" t="s">
        <v>355</v>
      </c>
      <c r="F7" s="3" t="s">
        <v>2303</v>
      </c>
      <c r="G7" s="3" t="s">
        <v>2342</v>
      </c>
      <c r="H7" s="3" t="s">
        <v>2192</v>
      </c>
      <c r="I7" s="3" t="s">
        <v>2343</v>
      </c>
      <c r="J7" s="3" t="s">
        <v>1364</v>
      </c>
      <c r="K7" s="3" t="s">
        <v>2344</v>
      </c>
      <c r="L7" s="3" t="s">
        <v>2338</v>
      </c>
      <c r="M7" s="3" t="s">
        <v>45</v>
      </c>
      <c r="N7" s="3" t="s">
        <v>2345</v>
      </c>
    </row>
    <row r="8" spans="1:14" ht="28">
      <c r="A8" s="3" t="s">
        <v>2346</v>
      </c>
      <c r="B8" s="3" t="s">
        <v>2347</v>
      </c>
      <c r="C8" s="3" t="s">
        <v>2308</v>
      </c>
      <c r="D8" s="3" t="s">
        <v>1894</v>
      </c>
      <c r="E8" s="3" t="s">
        <v>819</v>
      </c>
      <c r="F8" s="3" t="s">
        <v>1135</v>
      </c>
      <c r="G8" s="3" t="s">
        <v>2348</v>
      </c>
      <c r="H8" s="3" t="s">
        <v>2349</v>
      </c>
      <c r="I8" s="3" t="s">
        <v>1373</v>
      </c>
      <c r="J8" s="3" t="s">
        <v>1370</v>
      </c>
      <c r="K8" s="3" t="s">
        <v>2350</v>
      </c>
      <c r="L8" s="3" t="s">
        <v>2351</v>
      </c>
      <c r="M8" s="3" t="s">
        <v>45</v>
      </c>
      <c r="N8" s="3" t="s">
        <v>2352</v>
      </c>
    </row>
    <row r="9" spans="1:14" ht="28">
      <c r="A9" s="3" t="s">
        <v>2353</v>
      </c>
      <c r="B9" s="3" t="s">
        <v>2354</v>
      </c>
      <c r="C9" s="3" t="s">
        <v>2301</v>
      </c>
      <c r="D9" s="3" t="s">
        <v>60</v>
      </c>
      <c r="E9" s="3" t="s">
        <v>1590</v>
      </c>
      <c r="F9" s="3" t="s">
        <v>2303</v>
      </c>
      <c r="G9" s="3" t="s">
        <v>2210</v>
      </c>
      <c r="H9" s="3" t="s">
        <v>2355</v>
      </c>
      <c r="I9" s="3" t="s">
        <v>2356</v>
      </c>
      <c r="J9" s="3" t="s">
        <v>1505</v>
      </c>
      <c r="K9" s="3" t="s">
        <v>2357</v>
      </c>
      <c r="L9" s="3" t="s">
        <v>2358</v>
      </c>
      <c r="M9" s="3" t="s">
        <v>45</v>
      </c>
      <c r="N9" s="3" t="s">
        <v>2359</v>
      </c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24" customHeight="1">
      <c r="A12" s="53" t="s">
        <v>2360</v>
      </c>
      <c r="B12" s="53" t="s">
        <v>2361</v>
      </c>
      <c r="C12" s="53" t="s">
        <v>2362</v>
      </c>
      <c r="D12" s="53" t="s">
        <v>2363</v>
      </c>
      <c r="E12" s="53" t="s">
        <v>2364</v>
      </c>
      <c r="F12" s="53" t="s">
        <v>2365</v>
      </c>
      <c r="G12" s="53" t="s">
        <v>2366</v>
      </c>
      <c r="H12" s="53" t="s">
        <v>2367</v>
      </c>
      <c r="I12" s="53" t="s">
        <v>2368</v>
      </c>
      <c r="J12" s="53" t="s">
        <v>2369</v>
      </c>
      <c r="K12" s="53" t="s">
        <v>2251</v>
      </c>
      <c r="L12" s="53" t="s">
        <v>2370</v>
      </c>
      <c r="M12" s="53" t="s">
        <v>75</v>
      </c>
      <c r="N12" s="53" t="s">
        <v>1326</v>
      </c>
    </row>
    <row r="13" spans="1:14">
      <c r="A13" s="3">
        <v>1</v>
      </c>
      <c r="B13" s="3" t="s">
        <v>1353</v>
      </c>
      <c r="C13" s="3" t="s">
        <v>2371</v>
      </c>
      <c r="D13" s="3" t="s">
        <v>2338</v>
      </c>
      <c r="E13" s="3" t="s">
        <v>2337</v>
      </c>
      <c r="F13" s="3" t="s">
        <v>2372</v>
      </c>
      <c r="G13" s="3" t="s">
        <v>2373</v>
      </c>
      <c r="H13" s="3" t="s">
        <v>2374</v>
      </c>
      <c r="I13" s="3" t="s">
        <v>2296</v>
      </c>
      <c r="J13" s="3" t="s">
        <v>2375</v>
      </c>
      <c r="K13" s="3" t="s">
        <v>1593</v>
      </c>
      <c r="L13" s="3" t="s">
        <v>1140</v>
      </c>
      <c r="M13" s="3" t="s">
        <v>45</v>
      </c>
      <c r="N13" s="3" t="s">
        <v>2376</v>
      </c>
    </row>
    <row r="14" spans="1:14" ht="28">
      <c r="A14" s="3">
        <v>2</v>
      </c>
      <c r="B14" s="3" t="s">
        <v>1364</v>
      </c>
      <c r="C14" s="3" t="s">
        <v>2377</v>
      </c>
      <c r="D14" s="3" t="s">
        <v>2351</v>
      </c>
      <c r="E14" s="3" t="s">
        <v>2344</v>
      </c>
      <c r="F14" s="3" t="s">
        <v>2338</v>
      </c>
      <c r="G14" s="3" t="s">
        <v>2378</v>
      </c>
      <c r="H14" s="3" t="s">
        <v>2379</v>
      </c>
      <c r="I14" s="3" t="s">
        <v>2380</v>
      </c>
      <c r="J14" s="3" t="s">
        <v>2381</v>
      </c>
      <c r="K14" s="3" t="s">
        <v>2382</v>
      </c>
      <c r="L14" s="3" t="s">
        <v>1140</v>
      </c>
      <c r="M14" s="3" t="s">
        <v>45</v>
      </c>
      <c r="N14" s="3" t="s">
        <v>2383</v>
      </c>
    </row>
    <row r="15" spans="1:14" ht="28">
      <c r="A15" s="3">
        <v>3</v>
      </c>
      <c r="B15" s="3" t="s">
        <v>1370</v>
      </c>
      <c r="C15" s="3" t="s">
        <v>2384</v>
      </c>
      <c r="D15" s="3" t="s">
        <v>2329</v>
      </c>
      <c r="E15" s="3" t="s">
        <v>2350</v>
      </c>
      <c r="F15" s="3" t="s">
        <v>2351</v>
      </c>
      <c r="G15" s="3" t="s">
        <v>2385</v>
      </c>
      <c r="H15" s="3" t="s">
        <v>2386</v>
      </c>
      <c r="I15" s="3" t="s">
        <v>2387</v>
      </c>
      <c r="J15" s="3" t="s">
        <v>2388</v>
      </c>
      <c r="K15" s="3" t="s">
        <v>2389</v>
      </c>
      <c r="L15" s="3" t="s">
        <v>1140</v>
      </c>
      <c r="M15" s="3" t="s">
        <v>45</v>
      </c>
      <c r="N15" s="3" t="s">
        <v>819</v>
      </c>
    </row>
    <row r="16" spans="1:14" ht="28">
      <c r="A16" s="3">
        <v>4</v>
      </c>
      <c r="B16" s="3" t="s">
        <v>2390</v>
      </c>
      <c r="C16" s="3" t="s">
        <v>2391</v>
      </c>
      <c r="D16" s="3" t="s">
        <v>2392</v>
      </c>
      <c r="E16" s="3" t="s">
        <v>2393</v>
      </c>
      <c r="F16" s="3" t="s">
        <v>2372</v>
      </c>
      <c r="G16" s="3" t="s">
        <v>2394</v>
      </c>
      <c r="H16" s="3" t="s">
        <v>2395</v>
      </c>
      <c r="I16" s="3" t="s">
        <v>2296</v>
      </c>
      <c r="J16" s="3" t="s">
        <v>2396</v>
      </c>
      <c r="K16" s="3" t="s">
        <v>1397</v>
      </c>
      <c r="L16" s="3" t="s">
        <v>1140</v>
      </c>
      <c r="M16" s="3" t="s">
        <v>81</v>
      </c>
      <c r="N16" s="3" t="s">
        <v>2397</v>
      </c>
    </row>
    <row r="17" spans="1:14" ht="28">
      <c r="A17" s="3">
        <v>5</v>
      </c>
      <c r="B17" s="3" t="s">
        <v>1386</v>
      </c>
      <c r="C17" s="3" t="s">
        <v>2398</v>
      </c>
      <c r="D17" s="3" t="s">
        <v>2399</v>
      </c>
      <c r="E17" s="3" t="s">
        <v>2400</v>
      </c>
      <c r="F17" s="3" t="s">
        <v>2401</v>
      </c>
      <c r="G17" s="3" t="s">
        <v>2402</v>
      </c>
      <c r="H17" s="3" t="s">
        <v>2403</v>
      </c>
      <c r="I17" s="3" t="s">
        <v>2404</v>
      </c>
      <c r="J17" s="3" t="s">
        <v>2405</v>
      </c>
      <c r="K17" s="3" t="s">
        <v>2406</v>
      </c>
      <c r="L17" s="3" t="s">
        <v>1140</v>
      </c>
      <c r="M17" s="3" t="s">
        <v>45</v>
      </c>
      <c r="N17" s="3" t="s">
        <v>1392</v>
      </c>
    </row>
    <row r="18" spans="1:14" ht="28">
      <c r="A18" s="3">
        <v>6</v>
      </c>
      <c r="B18" s="3" t="s">
        <v>1505</v>
      </c>
      <c r="C18" s="3" t="s">
        <v>2407</v>
      </c>
      <c r="D18" s="3" t="s">
        <v>2358</v>
      </c>
      <c r="E18" s="3" t="s">
        <v>2357</v>
      </c>
      <c r="F18" s="3" t="s">
        <v>2372</v>
      </c>
      <c r="G18" s="3" t="s">
        <v>2408</v>
      </c>
      <c r="H18" s="3" t="s">
        <v>2409</v>
      </c>
      <c r="I18" s="3" t="s">
        <v>2296</v>
      </c>
      <c r="J18" s="3" t="s">
        <v>2410</v>
      </c>
      <c r="K18" s="3" t="s">
        <v>1516</v>
      </c>
      <c r="L18" s="3" t="s">
        <v>1140</v>
      </c>
      <c r="M18" s="3" t="s">
        <v>45</v>
      </c>
      <c r="N18" s="3" t="s">
        <v>1521</v>
      </c>
    </row>
    <row r="19" spans="1:14" ht="56">
      <c r="A19" s="3">
        <v>7</v>
      </c>
      <c r="B19" s="3" t="s">
        <v>1512</v>
      </c>
      <c r="C19" s="3" t="s">
        <v>1529</v>
      </c>
      <c r="D19" s="3" t="s">
        <v>2411</v>
      </c>
      <c r="E19" s="3" t="s">
        <v>2412</v>
      </c>
      <c r="F19" s="3" t="s">
        <v>2413</v>
      </c>
      <c r="G19" s="3" t="s">
        <v>2414</v>
      </c>
      <c r="H19" s="3" t="s">
        <v>2415</v>
      </c>
      <c r="I19" s="3" t="s">
        <v>2416</v>
      </c>
      <c r="J19" s="3" t="s">
        <v>2417</v>
      </c>
      <c r="K19" s="3" t="s">
        <v>2418</v>
      </c>
      <c r="L19" s="3" t="s">
        <v>1140</v>
      </c>
      <c r="M19" s="3" t="s">
        <v>45</v>
      </c>
      <c r="N19" s="3" t="s">
        <v>1914</v>
      </c>
    </row>
    <row r="20" spans="1:14">
      <c r="A20" s="3">
        <v>8</v>
      </c>
      <c r="B20" s="3" t="s">
        <v>1480</v>
      </c>
      <c r="C20" s="3" t="s">
        <v>2419</v>
      </c>
      <c r="D20" s="3" t="s">
        <v>2420</v>
      </c>
      <c r="E20" s="3" t="s">
        <v>2372</v>
      </c>
      <c r="F20" s="3" t="s">
        <v>2421</v>
      </c>
      <c r="G20" s="3" t="s">
        <v>2422</v>
      </c>
      <c r="H20" s="3" t="s">
        <v>2423</v>
      </c>
      <c r="I20" s="3" t="s">
        <v>2424</v>
      </c>
      <c r="J20" s="3" t="s">
        <v>2425</v>
      </c>
      <c r="K20" s="3" t="s">
        <v>2426</v>
      </c>
      <c r="L20" s="3" t="s">
        <v>1140</v>
      </c>
      <c r="M20" s="3" t="s">
        <v>81</v>
      </c>
      <c r="N20" s="3" t="s">
        <v>2427</v>
      </c>
    </row>
    <row r="21" spans="1:14" ht="28">
      <c r="A21" s="3">
        <v>9</v>
      </c>
      <c r="B21" s="3" t="s">
        <v>1462</v>
      </c>
      <c r="C21" s="3" t="s">
        <v>2428</v>
      </c>
      <c r="D21" s="3" t="s">
        <v>2429</v>
      </c>
      <c r="E21" s="3" t="s">
        <v>2372</v>
      </c>
      <c r="F21" s="3" t="s">
        <v>2430</v>
      </c>
      <c r="G21" s="3" t="s">
        <v>2431</v>
      </c>
      <c r="H21" s="3" t="s">
        <v>2432</v>
      </c>
      <c r="I21" s="3" t="s">
        <v>2433</v>
      </c>
      <c r="J21" s="3" t="s">
        <v>2434</v>
      </c>
      <c r="K21" s="3" t="s">
        <v>1478</v>
      </c>
      <c r="L21" s="3" t="s">
        <v>1140</v>
      </c>
      <c r="M21" s="3" t="s">
        <v>45</v>
      </c>
      <c r="N21" s="3" t="s">
        <v>2435</v>
      </c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24" customHeight="1">
      <c r="A24" s="53" t="s">
        <v>2436</v>
      </c>
      <c r="B24" s="53" t="s">
        <v>2437</v>
      </c>
      <c r="C24" s="53" t="s">
        <v>2438</v>
      </c>
      <c r="D24" s="53" t="s">
        <v>2439</v>
      </c>
      <c r="E24" s="53" t="s">
        <v>1200</v>
      </c>
      <c r="F24" s="53" t="s">
        <v>2440</v>
      </c>
      <c r="G24" s="53" t="s">
        <v>2441</v>
      </c>
      <c r="H24" s="53" t="s">
        <v>75</v>
      </c>
      <c r="I24" s="3"/>
      <c r="J24" s="3"/>
      <c r="K24" s="3"/>
      <c r="L24" s="3"/>
      <c r="M24" s="3"/>
      <c r="N24" s="3"/>
    </row>
    <row r="25" spans="1:14" ht="56">
      <c r="A25" s="3" t="s">
        <v>2442</v>
      </c>
      <c r="B25" s="3" t="s">
        <v>2443</v>
      </c>
      <c r="C25" s="3" t="s">
        <v>2444</v>
      </c>
      <c r="D25" s="3" t="s">
        <v>2445</v>
      </c>
      <c r="E25" s="3" t="s">
        <v>2446</v>
      </c>
      <c r="F25" s="3" t="s">
        <v>2405</v>
      </c>
      <c r="G25" s="3" t="s">
        <v>37</v>
      </c>
      <c r="H25" s="3" t="s">
        <v>45</v>
      </c>
      <c r="I25" s="3"/>
      <c r="J25" s="3"/>
      <c r="K25" s="3"/>
      <c r="L25" s="3"/>
      <c r="M25" s="3"/>
      <c r="N25" s="3"/>
    </row>
    <row r="26" spans="1:14" ht="42">
      <c r="A26" s="3" t="s">
        <v>2447</v>
      </c>
      <c r="B26" s="3" t="s">
        <v>2448</v>
      </c>
      <c r="C26" s="3" t="s">
        <v>2449</v>
      </c>
      <c r="D26" s="3" t="s">
        <v>2450</v>
      </c>
      <c r="E26" s="3" t="s">
        <v>2451</v>
      </c>
      <c r="F26" s="3" t="s">
        <v>2452</v>
      </c>
      <c r="G26" s="3" t="s">
        <v>42</v>
      </c>
      <c r="H26" s="3" t="s">
        <v>45</v>
      </c>
      <c r="I26" s="3"/>
      <c r="J26" s="3"/>
      <c r="K26" s="3"/>
      <c r="L26" s="3"/>
      <c r="M26" s="3"/>
      <c r="N26" s="3"/>
    </row>
    <row r="27" spans="1:14" ht="28">
      <c r="A27" s="3" t="s">
        <v>2453</v>
      </c>
      <c r="B27" s="3" t="s">
        <v>2454</v>
      </c>
      <c r="C27" s="3" t="s">
        <v>2455</v>
      </c>
      <c r="D27" s="3" t="s">
        <v>2456</v>
      </c>
      <c r="E27" s="3" t="s">
        <v>2457</v>
      </c>
      <c r="F27" s="3" t="s">
        <v>2458</v>
      </c>
      <c r="G27" s="3" t="s">
        <v>42</v>
      </c>
      <c r="H27" s="3" t="s">
        <v>45</v>
      </c>
      <c r="I27" s="3"/>
      <c r="J27" s="3"/>
      <c r="K27" s="3"/>
      <c r="L27" s="3"/>
      <c r="M27" s="3"/>
      <c r="N27" s="3"/>
    </row>
    <row r="28" spans="1:14" ht="28">
      <c r="A28" s="3" t="s">
        <v>2459</v>
      </c>
      <c r="B28" s="3" t="s">
        <v>2460</v>
      </c>
      <c r="C28" s="3" t="s">
        <v>2461</v>
      </c>
      <c r="D28" s="3" t="s">
        <v>2462</v>
      </c>
      <c r="E28" s="3" t="s">
        <v>2463</v>
      </c>
      <c r="F28" s="3" t="s">
        <v>2464</v>
      </c>
      <c r="G28" s="3" t="s">
        <v>2172</v>
      </c>
      <c r="H28" s="3" t="s">
        <v>45</v>
      </c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24" customHeight="1">
      <c r="A31" s="53" t="s">
        <v>2465</v>
      </c>
      <c r="B31" s="53" t="s">
        <v>1598</v>
      </c>
      <c r="C31" s="53" t="s">
        <v>1234</v>
      </c>
      <c r="D31" s="53" t="s">
        <v>1599</v>
      </c>
      <c r="E31" s="53" t="s">
        <v>1601</v>
      </c>
      <c r="F31" s="53" t="s">
        <v>1216</v>
      </c>
      <c r="G31" s="53" t="s">
        <v>1238</v>
      </c>
      <c r="H31" s="53" t="s">
        <v>2466</v>
      </c>
      <c r="I31" s="53" t="s">
        <v>2467</v>
      </c>
      <c r="J31" s="53" t="s">
        <v>2468</v>
      </c>
      <c r="K31" s="53" t="s">
        <v>2469</v>
      </c>
      <c r="L31" s="53" t="s">
        <v>2470</v>
      </c>
      <c r="M31" s="53" t="s">
        <v>75</v>
      </c>
      <c r="N31" s="53" t="s">
        <v>2321</v>
      </c>
    </row>
    <row r="32" spans="1:14" ht="42">
      <c r="A32" s="3" t="s">
        <v>1443</v>
      </c>
      <c r="B32" s="3" t="s">
        <v>2471</v>
      </c>
      <c r="C32" s="3" t="s">
        <v>1512</v>
      </c>
      <c r="D32" s="3" t="s">
        <v>1607</v>
      </c>
      <c r="E32" s="3" t="s">
        <v>2472</v>
      </c>
      <c r="F32" s="3" t="s">
        <v>1242</v>
      </c>
      <c r="G32" s="3" t="s">
        <v>2473</v>
      </c>
      <c r="H32" s="3" t="s">
        <v>1135</v>
      </c>
      <c r="I32" s="3" t="s">
        <v>1140</v>
      </c>
      <c r="J32" s="3" t="s">
        <v>1140</v>
      </c>
      <c r="K32" s="3" t="s">
        <v>1135</v>
      </c>
      <c r="L32" s="3" t="s">
        <v>1637</v>
      </c>
      <c r="M32" s="3" t="s">
        <v>45</v>
      </c>
      <c r="N32" s="3" t="s">
        <v>2474</v>
      </c>
    </row>
    <row r="33" spans="1:14" ht="28">
      <c r="A33" s="3" t="s">
        <v>1612</v>
      </c>
      <c r="B33" s="3" t="s">
        <v>2475</v>
      </c>
      <c r="C33" s="3" t="s">
        <v>2476</v>
      </c>
      <c r="D33" s="3" t="s">
        <v>1615</v>
      </c>
      <c r="E33" s="3" t="s">
        <v>2477</v>
      </c>
      <c r="F33" s="3" t="s">
        <v>1242</v>
      </c>
      <c r="G33" s="3" t="s">
        <v>1619</v>
      </c>
      <c r="H33" s="3" t="s">
        <v>1140</v>
      </c>
      <c r="I33" s="3" t="s">
        <v>1135</v>
      </c>
      <c r="J33" s="3" t="s">
        <v>1140</v>
      </c>
      <c r="K33" s="3" t="s">
        <v>1135</v>
      </c>
      <c r="L33" s="3" t="s">
        <v>2478</v>
      </c>
      <c r="M33" s="3" t="s">
        <v>45</v>
      </c>
      <c r="N33" s="3"/>
    </row>
    <row r="34" spans="1:14" ht="28">
      <c r="A34" s="3" t="s">
        <v>1239</v>
      </c>
      <c r="B34" s="3" t="s">
        <v>2479</v>
      </c>
      <c r="C34" s="3" t="s">
        <v>2480</v>
      </c>
      <c r="D34" s="3" t="s">
        <v>1248</v>
      </c>
      <c r="E34" s="3" t="s">
        <v>1624</v>
      </c>
      <c r="F34" s="3" t="s">
        <v>1242</v>
      </c>
      <c r="G34" s="3" t="s">
        <v>2481</v>
      </c>
      <c r="H34" s="3" t="s">
        <v>1140</v>
      </c>
      <c r="I34" s="3" t="s">
        <v>1140</v>
      </c>
      <c r="J34" s="3" t="s">
        <v>1140</v>
      </c>
      <c r="K34" s="3" t="s">
        <v>1135</v>
      </c>
      <c r="L34" s="3" t="s">
        <v>2482</v>
      </c>
      <c r="M34" s="3" t="s">
        <v>45</v>
      </c>
      <c r="N34" s="3"/>
    </row>
    <row r="35" spans="1:14" ht="28">
      <c r="A35" s="3" t="s">
        <v>1195</v>
      </c>
      <c r="B35" s="3" t="s">
        <v>1636</v>
      </c>
      <c r="C35" s="3" t="s">
        <v>2483</v>
      </c>
      <c r="D35" s="3" t="s">
        <v>1243</v>
      </c>
      <c r="E35" s="3" t="s">
        <v>2484</v>
      </c>
      <c r="F35" s="3" t="s">
        <v>1242</v>
      </c>
      <c r="G35" s="3" t="s">
        <v>1252</v>
      </c>
      <c r="H35" s="3" t="s">
        <v>1140</v>
      </c>
      <c r="I35" s="3" t="s">
        <v>1140</v>
      </c>
      <c r="J35" s="3" t="s">
        <v>1140</v>
      </c>
      <c r="K35" s="3" t="s">
        <v>1140</v>
      </c>
      <c r="L35" s="3" t="s">
        <v>1637</v>
      </c>
      <c r="M35" s="3" t="s">
        <v>45</v>
      </c>
      <c r="N35" s="3"/>
    </row>
    <row r="36" spans="1:14" ht="28">
      <c r="A36" s="3" t="s">
        <v>2485</v>
      </c>
      <c r="B36" s="3" t="s">
        <v>2486</v>
      </c>
      <c r="C36" s="3" t="s">
        <v>2487</v>
      </c>
      <c r="D36" s="3" t="s">
        <v>2488</v>
      </c>
      <c r="E36" s="3" t="s">
        <v>2489</v>
      </c>
      <c r="F36" s="3" t="s">
        <v>1242</v>
      </c>
      <c r="G36" s="3" t="s">
        <v>2490</v>
      </c>
      <c r="H36" s="3" t="s">
        <v>1135</v>
      </c>
      <c r="I36" s="3" t="s">
        <v>1140</v>
      </c>
      <c r="J36" s="3" t="s">
        <v>1140</v>
      </c>
      <c r="K36" s="3" t="s">
        <v>1135</v>
      </c>
      <c r="L36" s="3" t="s">
        <v>2491</v>
      </c>
      <c r="M36" s="3" t="s">
        <v>81</v>
      </c>
      <c r="N36" s="3"/>
    </row>
    <row r="37" spans="1:14">
      <c r="A37" s="3" t="s">
        <v>1129</v>
      </c>
      <c r="B37" s="3" t="s">
        <v>2492</v>
      </c>
      <c r="C37" s="3" t="s">
        <v>1462</v>
      </c>
      <c r="D37" s="3" t="s">
        <v>1705</v>
      </c>
      <c r="E37" s="3" t="s">
        <v>2493</v>
      </c>
      <c r="F37" s="3" t="s">
        <v>1242</v>
      </c>
      <c r="G37" s="3" t="s">
        <v>2494</v>
      </c>
      <c r="H37" s="3" t="s">
        <v>1135</v>
      </c>
      <c r="I37" s="3" t="s">
        <v>1140</v>
      </c>
      <c r="J37" s="3" t="s">
        <v>1140</v>
      </c>
      <c r="K37" s="3" t="s">
        <v>1140</v>
      </c>
      <c r="L37" s="3" t="s">
        <v>1706</v>
      </c>
      <c r="M37" s="3" t="s">
        <v>45</v>
      </c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24" customHeight="1">
      <c r="A40" s="53" t="s">
        <v>2495</v>
      </c>
      <c r="B40" s="53" t="s">
        <v>2496</v>
      </c>
      <c r="C40" s="53" t="s">
        <v>2497</v>
      </c>
      <c r="D40" s="53" t="s">
        <v>2498</v>
      </c>
      <c r="E40" s="53" t="s">
        <v>2499</v>
      </c>
      <c r="F40" s="53" t="s">
        <v>2500</v>
      </c>
      <c r="G40" s="53" t="s">
        <v>75</v>
      </c>
      <c r="H40" s="53" t="s">
        <v>1211</v>
      </c>
      <c r="I40" s="3"/>
      <c r="J40" s="3"/>
      <c r="K40" s="3"/>
      <c r="L40" s="3"/>
      <c r="M40" s="3"/>
      <c r="N40" s="3"/>
    </row>
    <row r="41" spans="1:14">
      <c r="A41" s="3" t="s">
        <v>2194</v>
      </c>
      <c r="B41" s="3" t="s">
        <v>2501</v>
      </c>
      <c r="C41" s="3" t="s">
        <v>1140</v>
      </c>
      <c r="D41" s="3"/>
      <c r="E41" s="3"/>
      <c r="F41" s="3" t="s">
        <v>1135</v>
      </c>
      <c r="G41" s="3" t="s">
        <v>45</v>
      </c>
      <c r="H41" s="3"/>
      <c r="I41" s="3"/>
      <c r="J41" s="3"/>
      <c r="K41" s="3"/>
      <c r="L41" s="3"/>
      <c r="M41" s="3"/>
      <c r="N41" s="3"/>
    </row>
    <row r="42" spans="1:14">
      <c r="A42" s="3" t="s">
        <v>2200</v>
      </c>
      <c r="B42" s="3" t="s">
        <v>2502</v>
      </c>
      <c r="C42" s="3" t="s">
        <v>1140</v>
      </c>
      <c r="D42" s="3"/>
      <c r="E42" s="3"/>
      <c r="F42" s="3" t="s">
        <v>1135</v>
      </c>
      <c r="G42" s="3" t="s">
        <v>45</v>
      </c>
      <c r="H42" s="3"/>
      <c r="I42" s="3"/>
      <c r="J42" s="3"/>
      <c r="K42" s="3"/>
      <c r="L42" s="3"/>
      <c r="M42" s="3"/>
      <c r="N42" s="3"/>
    </row>
    <row r="43" spans="1:14" ht="28">
      <c r="A43" s="3" t="s">
        <v>37</v>
      </c>
      <c r="B43" s="3" t="s">
        <v>2503</v>
      </c>
      <c r="C43" s="3" t="s">
        <v>1140</v>
      </c>
      <c r="D43" s="3"/>
      <c r="E43" s="3"/>
      <c r="F43" s="3" t="s">
        <v>2504</v>
      </c>
      <c r="G43" s="3" t="s">
        <v>45</v>
      </c>
      <c r="H43" s="3"/>
      <c r="I43" s="3"/>
      <c r="J43" s="3"/>
      <c r="K43" s="3"/>
      <c r="L43" s="3"/>
      <c r="M43" s="3"/>
      <c r="N43" s="3"/>
    </row>
    <row r="44" spans="1:14">
      <c r="A44" s="3" t="s">
        <v>42</v>
      </c>
      <c r="B44" s="3" t="s">
        <v>2505</v>
      </c>
      <c r="C44" s="3" t="s">
        <v>1140</v>
      </c>
      <c r="D44" s="3"/>
      <c r="E44" s="3"/>
      <c r="F44" s="3" t="s">
        <v>1135</v>
      </c>
      <c r="G44" s="3" t="s">
        <v>45</v>
      </c>
      <c r="H44" s="3"/>
      <c r="I44" s="3"/>
      <c r="J44" s="3"/>
      <c r="K44" s="3"/>
      <c r="L44" s="3"/>
      <c r="M44" s="3"/>
      <c r="N44" s="3"/>
    </row>
    <row r="45" spans="1:14">
      <c r="A45" s="3" t="s">
        <v>22</v>
      </c>
      <c r="B45" s="3" t="s">
        <v>2506</v>
      </c>
      <c r="C45" s="3"/>
      <c r="D45" s="3" t="s">
        <v>1140</v>
      </c>
      <c r="E45" s="3"/>
      <c r="F45" s="3" t="s">
        <v>1135</v>
      </c>
      <c r="G45" s="3" t="s">
        <v>45</v>
      </c>
      <c r="H45" s="3"/>
      <c r="I45" s="3"/>
      <c r="J45" s="3"/>
      <c r="K45" s="3"/>
      <c r="L45" s="3"/>
      <c r="M45" s="3"/>
      <c r="N45" s="3"/>
    </row>
    <row r="46" spans="1:14">
      <c r="A46" s="3" t="s">
        <v>26</v>
      </c>
      <c r="B46" s="3" t="s">
        <v>2507</v>
      </c>
      <c r="C46" s="3"/>
      <c r="D46" s="3" t="s">
        <v>1140</v>
      </c>
      <c r="E46" s="3"/>
      <c r="F46" s="3" t="s">
        <v>1135</v>
      </c>
      <c r="G46" s="3" t="s">
        <v>81</v>
      </c>
      <c r="H46" s="3" t="s">
        <v>2508</v>
      </c>
      <c r="I46" s="3"/>
      <c r="J46" s="3"/>
      <c r="K46" s="3"/>
      <c r="L46" s="3"/>
      <c r="M46" s="3"/>
      <c r="N46" s="3"/>
    </row>
    <row r="47" spans="1:14">
      <c r="A47" s="3" t="s">
        <v>30</v>
      </c>
      <c r="B47" s="3" t="s">
        <v>2509</v>
      </c>
      <c r="C47" s="3"/>
      <c r="D47" s="3" t="s">
        <v>1140</v>
      </c>
      <c r="E47" s="3"/>
      <c r="F47" s="3" t="s">
        <v>1135</v>
      </c>
      <c r="G47" s="3" t="s">
        <v>81</v>
      </c>
      <c r="H47" s="3" t="s">
        <v>2510</v>
      </c>
      <c r="I47" s="3"/>
      <c r="J47" s="3"/>
      <c r="K47" s="3"/>
      <c r="L47" s="3"/>
      <c r="M47" s="3"/>
      <c r="N47" s="3"/>
    </row>
    <row r="48" spans="1:14">
      <c r="A48" s="3" t="s">
        <v>33</v>
      </c>
      <c r="B48" s="3" t="s">
        <v>2511</v>
      </c>
      <c r="C48" s="3"/>
      <c r="D48" s="3"/>
      <c r="E48" s="3" t="s">
        <v>1140</v>
      </c>
      <c r="F48" s="3" t="s">
        <v>2512</v>
      </c>
      <c r="G48" s="3" t="s">
        <v>81</v>
      </c>
      <c r="H48" s="3" t="s">
        <v>2513</v>
      </c>
      <c r="I48" s="3"/>
      <c r="J48" s="3"/>
      <c r="K48" s="3"/>
      <c r="L48" s="3"/>
      <c r="M48" s="3"/>
      <c r="N48" s="3"/>
    </row>
    <row r="49" spans="1:14" ht="28">
      <c r="A49" s="3" t="s">
        <v>48</v>
      </c>
      <c r="B49" s="3" t="s">
        <v>2514</v>
      </c>
      <c r="C49" s="3"/>
      <c r="D49" s="3"/>
      <c r="E49" s="3" t="s">
        <v>1140</v>
      </c>
      <c r="F49" s="3" t="s">
        <v>2515</v>
      </c>
      <c r="G49" s="3" t="s">
        <v>45</v>
      </c>
      <c r="H49" s="3"/>
      <c r="I49" s="3"/>
      <c r="J49" s="3"/>
      <c r="K49" s="3"/>
      <c r="L49" s="3"/>
      <c r="M49" s="3"/>
      <c r="N49" s="3"/>
    </row>
    <row r="50" spans="1:14">
      <c r="A50" s="3" t="s">
        <v>55</v>
      </c>
      <c r="B50" s="3" t="s">
        <v>2516</v>
      </c>
      <c r="C50" s="3"/>
      <c r="D50" s="3" t="s">
        <v>1140</v>
      </c>
      <c r="E50" s="3"/>
      <c r="F50" s="3" t="s">
        <v>1135</v>
      </c>
      <c r="G50" s="3" t="s">
        <v>45</v>
      </c>
      <c r="H50" s="3"/>
      <c r="I50" s="3"/>
      <c r="J50" s="3"/>
      <c r="K50" s="3"/>
      <c r="L50" s="3"/>
      <c r="M50" s="3"/>
      <c r="N50" s="3"/>
    </row>
    <row r="51" spans="1:14">
      <c r="A51" s="3" t="s">
        <v>58</v>
      </c>
      <c r="B51" s="3" t="s">
        <v>2517</v>
      </c>
      <c r="C51" s="3"/>
      <c r="D51" s="3"/>
      <c r="E51" s="3" t="s">
        <v>1140</v>
      </c>
      <c r="F51" s="3" t="s">
        <v>1140</v>
      </c>
      <c r="G51" s="3" t="s">
        <v>81</v>
      </c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25.4" customHeight="1">
      <c r="A54" s="82" t="s">
        <v>2518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</sheetData>
  <mergeCells count="3">
    <mergeCell ref="A1:N1"/>
    <mergeCell ref="A2:N2"/>
    <mergeCell ref="A54:N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00_Inicio</vt:lpstr>
      <vt:lpstr>01_Categorias</vt:lpstr>
      <vt:lpstr>02_Subcategorias</vt:lpstr>
      <vt:lpstr>03_Catalogo_Servicios</vt:lpstr>
      <vt:lpstr>04_Registro_Operaciones</vt:lpstr>
      <vt:lpstr>05_Cartera_Proyectos</vt:lpstr>
      <vt:lpstr>06_Personal</vt:lpstr>
      <vt:lpstr>07_Gastos_Fijos</vt:lpstr>
      <vt:lpstr>08_Presupuesto_Jul_Dic</vt:lpstr>
      <vt:lpstr>09_Punto_Equilibrio</vt:lpstr>
      <vt:lpstr>10_Dashboard</vt:lpstr>
      <vt:lpstr>11_Listas</vt:lpstr>
      <vt:lpstr>12_Reglas_Comision</vt:lpstr>
      <vt:lpstr>13_Especificacion_Sistema</vt:lpstr>
      <vt:lpstr>14_Dashboard_KPIs</vt:lpstr>
      <vt:lpstr>15_Cumplimiento_Metas</vt:lpstr>
      <vt:lpstr>04_Plan_Cuentas</vt:lpstr>
      <vt:lpstr>16_Movimientos_Codificados</vt:lpstr>
      <vt:lpstr>17_Resumen_Mensual</vt:lpstr>
      <vt:lpstr>18_Procedimiento_Catalogo</vt:lpstr>
      <vt:lpstr>19_Control_Altas_Cambios</vt:lpstr>
      <vt:lpstr>20_Guia_Usuario</vt:lpstr>
      <vt:lpstr>00_PARA_DESARROLLADOR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AndreaEscobar</dc:creator>
  <cp:lastModifiedBy>Andrea escobar</cp:lastModifiedBy>
  <dcterms:created xsi:type="dcterms:W3CDTF">2026-07-16T19:47:02Z</dcterms:created>
  <dcterms:modified xsi:type="dcterms:W3CDTF">2026-07-16T19:47:02Z</dcterms:modified>
</cp:coreProperties>
</file>